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Ex3.xml" ContentType="application/vnd.ms-office.chartex+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12.xml" ContentType="application/vnd.openxmlformats-officedocument.drawingml.chart+xml"/>
  <Override PartName="/xl/charts/style15.xml" ContentType="application/vnd.ms-office.chartstyle+xml"/>
  <Override PartName="/xl/charts/colors15.xml" ContentType="application/vnd.ms-office.chartcolorstyle+xml"/>
  <Override PartName="/xl/charts/chart13.xml" ContentType="application/vnd.openxmlformats-officedocument.drawingml.chart+xml"/>
  <Override PartName="/xl/charts/style16.xml" ContentType="application/vnd.ms-office.chartstyle+xml"/>
  <Override PartName="/xl/charts/colors16.xml" ContentType="application/vnd.ms-office.chartcolorstyle+xml"/>
  <Override PartName="/xl/charts/chart14.xml" ContentType="application/vnd.openxmlformats-officedocument.drawingml.chart+xml"/>
  <Override PartName="/xl/charts/style17.xml" ContentType="application/vnd.ms-office.chartstyle+xml"/>
  <Override PartName="/xl/charts/colors17.xml" ContentType="application/vnd.ms-office.chartcolorstyle+xml"/>
  <Override PartName="/xl/charts/chart15.xml" ContentType="application/vnd.openxmlformats-officedocument.drawingml.chart+xml"/>
  <Override PartName="/xl/charts/style18.xml" ContentType="application/vnd.ms-office.chartstyle+xml"/>
  <Override PartName="/xl/charts/colors18.xml" ContentType="application/vnd.ms-office.chartcolorstyle+xml"/>
  <Override PartName="/xl/charts/chart16.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5.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18.xml" ContentType="application/vnd.ms-office.activeX+xml"/>
  <Override PartName="/xl/activeX/activeX18.bin" ContentType="application/vnd.ms-office.activeX"/>
  <Override PartName="/xl/drawings/drawing7.xml" ContentType="application/vnd.openxmlformats-officedocument.drawing+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PERSONAL\EXCEL\CRYPTO\"/>
    </mc:Choice>
  </mc:AlternateContent>
  <xr:revisionPtr revIDLastSave="0" documentId="13_ncr:1_{C4400401-46DF-40A2-8D6D-028DE4E9C918}" xr6:coauthVersionLast="47" xr6:coauthVersionMax="47" xr10:uidLastSave="{00000000-0000-0000-0000-000000000000}"/>
  <bookViews>
    <workbookView xWindow="-108" yWindow="-108" windowWidth="23256" windowHeight="12456" tabRatio="824" activeTab="2" xr2:uid="{9C6E1353-813B-4158-BA9E-97891C782A8B}"/>
  </bookViews>
  <sheets>
    <sheet name="Welcome_page" sheetId="9" r:id="rId1"/>
    <sheet name="User_Guide" sheetId="8" r:id="rId2"/>
    <sheet name="Portfolio_Lite" sheetId="7" r:id="rId3"/>
    <sheet name="Portfolio_Pro" sheetId="1" r:id="rId4"/>
    <sheet name="Purchases" sheetId="4" r:id="rId5"/>
    <sheet name="Log_Data" sheetId="11" r:id="rId6"/>
    <sheet name="Login_Info" sheetId="12" r:id="rId7"/>
    <sheet name="ExtractedDataTables" sheetId="5" r:id="rId8"/>
    <sheet name="Coingecko_API" sheetId="2" r:id="rId9"/>
  </sheets>
  <functionGroups builtInGroupCount="19"/>
  <definedNames>
    <definedName name="_xlchart.v1.0" hidden="1">ExtractedDataTables!$B$1:$B$2</definedName>
    <definedName name="_xlchart.v1.1" hidden="1">ExtractedDataTables!$E$1</definedName>
    <definedName name="_xlchart.v1.2" hidden="1">ExtractedDataTables!$E$2:$E$2</definedName>
    <definedName name="_xlchart.v1.3" hidden="1">ExtractedDataTables!$B$6:$B$7</definedName>
    <definedName name="_xlchart.v1.4" hidden="1">ExtractedDataTables!$E$5</definedName>
    <definedName name="_xlchart.v1.5" hidden="1">ExtractedDataTables!$E$5:$E$7</definedName>
    <definedName name="_xlchart.v1.6" hidden="1">Coingecko_API!$C$1:$C$201</definedName>
    <definedName name="_xlchart.v1.7" hidden="1">Coingecko_API!$F$1:$F$201</definedName>
    <definedName name="A">Coingecko_API!#REF!</definedName>
    <definedName name="ExternalData_1" localSheetId="7" hidden="1">ExtractedDataTables!$A$1:$I$2</definedName>
    <definedName name="ExternalData_1" localSheetId="2" hidden="1">Portfolio_Lite!$A$4:$A$7</definedName>
    <definedName name="ExternalData_1" localSheetId="3" hidden="1">Portfolio_Pro!$A$6:$A$9</definedName>
    <definedName name="ExternalData_2" localSheetId="7" hidden="1">ExtractedDataTables!$A$5:$I$6</definedName>
    <definedName name="ExternalData_4" localSheetId="3" hidden="1">Portfolio_Pro!$A$41:$A$44</definedName>
    <definedName name="Query___Coingecko_API_coin_info" localSheetId="8" hidden="1">Coingecko_API!$A$1:$AC$201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2" i="1" l="1"/>
  <c r="B7" i="1"/>
  <c r="B8" i="1"/>
  <c r="B9" i="1"/>
  <c r="C7" i="1"/>
  <c r="C8" i="1"/>
  <c r="C9" i="1"/>
  <c r="E7" i="1"/>
  <c r="D7" i="1" s="1"/>
  <c r="B44" i="1" s="1"/>
  <c r="E8" i="1"/>
  <c r="D8" i="1" s="1"/>
  <c r="B42" i="1" s="1"/>
  <c r="E9" i="1"/>
  <c r="D9" i="1" s="1"/>
  <c r="B43" i="1" s="1"/>
  <c r="F7" i="1"/>
  <c r="F8" i="1"/>
  <c r="F9" i="1"/>
  <c r="G7" i="1"/>
  <c r="G8" i="1"/>
  <c r="G9" i="1"/>
  <c r="H7" i="1"/>
  <c r="H8" i="1"/>
  <c r="H9" i="1"/>
  <c r="I7" i="1"/>
  <c r="I8" i="1"/>
  <c r="I9" i="1"/>
  <c r="J7" i="1"/>
  <c r="J8" i="1"/>
  <c r="J9" i="1"/>
  <c r="K7" i="1"/>
  <c r="K8" i="1"/>
  <c r="K9" i="1"/>
  <c r="L7" i="1"/>
  <c r="L8" i="1"/>
  <c r="L9" i="1"/>
  <c r="N7" i="1"/>
  <c r="N8" i="1"/>
  <c r="N9" i="1"/>
  <c r="O7" i="1"/>
  <c r="O8" i="1"/>
  <c r="O9" i="1"/>
  <c r="C44" i="1"/>
  <c r="C42" i="1"/>
  <c r="C43" i="1"/>
  <c r="F42" i="1"/>
  <c r="B7" i="7"/>
  <c r="D7" i="7" s="1"/>
  <c r="B5" i="7"/>
  <c r="B6" i="7"/>
  <c r="C7" i="7"/>
  <c r="C5" i="7"/>
  <c r="C6" i="7"/>
  <c r="K6" i="4"/>
  <c r="F43" i="1" s="1"/>
  <c r="H6" i="4"/>
  <c r="I6" i="4" s="1"/>
  <c r="B6" i="4"/>
  <c r="K5" i="4"/>
  <c r="H5" i="4"/>
  <c r="I5" i="4" s="1"/>
  <c r="B5" i="4"/>
  <c r="K4" i="4"/>
  <c r="H4" i="4"/>
  <c r="I4" i="4" s="1"/>
  <c r="B4" i="4"/>
  <c r="K3" i="4"/>
  <c r="H3" i="4"/>
  <c r="I3" i="4" s="1"/>
  <c r="B3" i="4"/>
  <c r="K2" i="4"/>
  <c r="F44" i="1" s="1"/>
  <c r="H2" i="4"/>
  <c r="I2" i="4" s="1"/>
  <c r="B2" i="4"/>
  <c r="K3" i="1"/>
  <c r="X2" i="5" a="1"/>
  <c r="P2" i="5" a="1"/>
  <c r="Q1" i="5" a="1"/>
  <c r="Q1" i="11" a="1"/>
  <c r="W2" i="5" a="1"/>
  <c r="S1" i="5" a="1"/>
  <c r="V1" i="5" a="1"/>
  <c r="R1" i="11" a="1"/>
  <c r="K1" i="11" a="1"/>
  <c r="M1" i="11" a="1"/>
  <c r="P1" i="5" a="1"/>
  <c r="AA1" i="5" a="1"/>
  <c r="O1" i="11" a="1"/>
  <c r="V2" i="5" a="1"/>
  <c r="Y1" i="5" a="1"/>
  <c r="U1" i="5" a="1"/>
  <c r="S1" i="11" a="1"/>
  <c r="U2" i="5" a="1"/>
  <c r="N1" i="11" a="1"/>
  <c r="T2" i="5" a="1"/>
  <c r="J1" i="11" a="1"/>
  <c r="L1" i="11" a="1"/>
  <c r="R2" i="5" a="1"/>
  <c r="Y2" i="5" a="1"/>
  <c r="Q2" i="5" a="1"/>
  <c r="R1" i="5" a="1"/>
  <c r="P1" i="11" a="1"/>
  <c r="X1" i="5" a="1"/>
  <c r="T1" i="5" a="1"/>
  <c r="S2" i="5" a="1"/>
  <c r="W1" i="5" a="1"/>
  <c r="D6" i="7" l="1"/>
  <c r="D5" i="7"/>
  <c r="D44" i="1"/>
  <c r="E44" i="1" s="1"/>
  <c r="D43" i="1"/>
  <c r="E43" i="1" s="1"/>
  <c r="D42" i="1"/>
  <c r="E42" i="1" s="1"/>
  <c r="AA1" i="5"/>
  <c r="K1" i="1" s="1"/>
  <c r="Y2" i="5"/>
  <c r="X2" i="5"/>
  <c r="W2" i="5"/>
  <c r="V2" i="5"/>
  <c r="U2" i="5"/>
  <c r="T2" i="5"/>
  <c r="S2" i="5"/>
  <c r="R2" i="5"/>
  <c r="Q2" i="5"/>
  <c r="P2" i="5"/>
  <c r="U1" i="5"/>
  <c r="V1" i="5"/>
  <c r="Q1" i="5"/>
  <c r="R1" i="5"/>
  <c r="W1" i="5"/>
  <c r="P1" i="5"/>
  <c r="T1" i="5"/>
  <c r="X1" i="5"/>
  <c r="Y1" i="5"/>
  <c r="S1" i="5"/>
  <c r="N1" i="11"/>
  <c r="M1" i="11"/>
  <c r="L1" i="11"/>
  <c r="O1" i="11"/>
  <c r="P1" i="11"/>
  <c r="Q1" i="11"/>
  <c r="R1" i="11"/>
  <c r="S1" i="11"/>
  <c r="K1" i="11"/>
  <c r="J1" i="11"/>
  <c r="C45" i="1"/>
  <c r="L2" i="5" s="1"/>
  <c r="M1" i="1" l="1"/>
  <c r="G93" i="8"/>
  <c r="H93" i="8" s="1"/>
  <c r="S92" i="8"/>
  <c r="T92" i="8" s="1"/>
  <c r="G92" i="8"/>
  <c r="H92" i="8" s="1"/>
  <c r="T91" i="8"/>
  <c r="S91" i="8"/>
  <c r="S87" i="8"/>
  <c r="T87" i="8" s="1"/>
  <c r="S86" i="8"/>
  <c r="T86" i="8" s="1"/>
  <c r="G86" i="8"/>
  <c r="H86" i="8" s="1"/>
  <c r="H85" i="8"/>
  <c r="G85" i="8"/>
  <c r="S82" i="8"/>
  <c r="T82" i="8" s="1"/>
  <c r="S81" i="8"/>
  <c r="T81" i="8" s="1"/>
  <c r="G81" i="8"/>
  <c r="H81" i="8" s="1"/>
  <c r="G80" i="8"/>
  <c r="H80" i="8" s="1"/>
  <c r="S77" i="8"/>
  <c r="T77" i="8" s="1"/>
  <c r="S76" i="8"/>
  <c r="T76" i="8" s="1"/>
  <c r="G76" i="8"/>
  <c r="H76" i="8" s="1"/>
  <c r="G75" i="8"/>
  <c r="H75" i="8" s="1"/>
  <c r="S72" i="8"/>
  <c r="T72" i="8" s="1"/>
  <c r="S71" i="8"/>
  <c r="T71" i="8" s="1"/>
  <c r="G71" i="8"/>
  <c r="H71" i="8" s="1"/>
  <c r="S69" i="8"/>
  <c r="T69" i="8" s="1"/>
  <c r="S68" i="8"/>
  <c r="T68" i="8" s="1"/>
  <c r="G65" i="8"/>
  <c r="H65" i="8" s="1"/>
  <c r="G64" i="8"/>
  <c r="H64" i="8" s="1"/>
  <c r="T61" i="8"/>
  <c r="S61" i="8"/>
  <c r="S60" i="8"/>
  <c r="T60" i="8" s="1"/>
  <c r="G60" i="8"/>
  <c r="H60" i="8" s="1"/>
  <c r="G59" i="8"/>
  <c r="H59" i="8" s="1"/>
  <c r="S56" i="8"/>
  <c r="T56" i="8" s="1"/>
  <c r="S55" i="8"/>
  <c r="T55" i="8" s="1"/>
  <c r="G53" i="8"/>
  <c r="H53" i="8" s="1"/>
  <c r="G52" i="8"/>
  <c r="H52" i="8" s="1"/>
  <c r="T51" i="8"/>
  <c r="S51" i="8"/>
  <c r="S50" i="8"/>
  <c r="T50" i="8" s="1"/>
  <c r="S46" i="8"/>
  <c r="T46" i="8" s="1"/>
  <c r="G46" i="8"/>
  <c r="H46" i="8" s="1"/>
  <c r="T45" i="8"/>
  <c r="S45" i="8"/>
  <c r="G45" i="8"/>
  <c r="H45" i="8" s="1"/>
  <c r="G41" i="8"/>
  <c r="H41" i="8" s="1"/>
  <c r="G40" i="8"/>
  <c r="H40" i="8" s="1"/>
  <c r="H33" i="8"/>
  <c r="G33" i="8"/>
  <c r="G32" i="8"/>
  <c r="H32" i="8" s="1"/>
  <c r="S31" i="8"/>
  <c r="T31" i="8" s="1"/>
  <c r="S30" i="8"/>
  <c r="T30" i="8" s="1"/>
  <c r="S26" i="8"/>
  <c r="T26" i="8" s="1"/>
  <c r="S25" i="8"/>
  <c r="T25" i="8" s="1"/>
  <c r="S21" i="8"/>
  <c r="T21" i="8" s="1"/>
  <c r="S20" i="8"/>
  <c r="T20" i="8" s="1"/>
  <c r="M7" i="1" l="1"/>
  <c r="M8" i="1"/>
  <c r="M9" i="1"/>
  <c r="D8" i="7"/>
  <c r="B45" i="1"/>
  <c r="K2" i="5" l="1"/>
  <c r="E45" i="1"/>
  <c r="N2" i="5" s="1"/>
  <c r="D45" i="1"/>
  <c r="M2" i="5" s="1"/>
  <c r="F45" i="1" l="1"/>
  <c r="O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9C9B9E6-33F7-4BBA-912B-B6A3C21F383C}" odcFile="C:\Users\rrrob\Documents\My Data Sources\Query - Coingecko_API_coin_info.odc" keepAlive="1" name="Query - Coingecko_API_coin_info" description="Connection to the 'Coingecko_API_coin_info' query in the workbook." type="5" refreshedVersion="8" background="1" saveData="1">
    <dbPr connection="Provider=Microsoft.Mashup.OleDb.1;Data Source=$Workbook$;Location=Coingecko_API_coin_info;Extended Properties=&quot;&quot;" command="SELECT * FROM [Coingecko_API_coin_info]"/>
  </connection>
  <connection id="2" xr16:uid="{D64FD224-AA95-4701-971F-382F72AB683E}" keepAlive="1" name="Query - Table01(1)" description="Connection to the 'Table01' query in the workbook." type="5" refreshedVersion="8" background="1" saveData="1">
    <dbPr connection="Provider=Microsoft.Mashup.OleDb.1;Data Source=$Workbook$;Location=Table01;Extended Properties=&quot;&quot;" command="SELECT * FROM [Table01]"/>
  </connection>
  <connection id="3" xr16:uid="{4BBC3557-3CF9-4104-869B-5A7ED8DD2707}" keepAlive="1" name="Query - Table02_PortfolioLite" description="Connection to the 'Table02_PortfolioLite' query in the workbook." type="5" refreshedVersion="8" background="1" saveData="1">
    <dbPr connection="Provider=Microsoft.Mashup.OleDb.1;Data Source=$Workbook$;Location=Table02_PortfolioLite;Extended Properties=&quot;&quot;" command="SELECT * FROM [Table02_PortfolioLite]"/>
  </connection>
  <connection id="4" xr16:uid="{24F25389-E7EF-45D3-B97F-1D478C6EE738}" keepAlive="1" name="Query - Table02_PortfolioPro" description="Connection to the 'Table02_PortfolioPro' query in the workbook." type="5" refreshedVersion="8" background="1" saveData="1">
    <dbPr connection="Provider=Microsoft.Mashup.OleDb.1;Data Source=$Workbook$;Location=Table02_PortfolioPro;Extended Properties=&quot;&quot;" command="SELECT * FROM [Table02_PortfolioPro]"/>
  </connection>
  <connection id="5" xr16:uid="{5FEEB10A-5C4E-4E60-937A-706B62F2B167}" keepAlive="1" name="Query - Table02_PortfolioPro (4)" description="Connection to the 'Table02_PortfolioPro (4)' query in the workbook." type="5" refreshedVersion="8" background="1" saveData="1">
    <dbPr connection="Provider=Microsoft.Mashup.OleDb.1;Data Source=$Workbook$;Location=&quot;Table02_PortfolioPro (4)&quot;;Extended Properties=&quot;&quot;" command="SELECT * FROM [Table02_PortfolioPro (4)]"/>
  </connection>
  <connection id="6" xr16:uid="{CB1A6244-F91F-408B-B8CD-9534A9059F7A}" keepAlive="1" name="Query - Table03(1)" description="Connection to the 'Table03' query in the workbook." type="5" refreshedVersion="8" background="1" saveData="1">
    <dbPr connection="Provider=Microsoft.Mashup.OleDb.1;Data Source=$Workbook$;Location=Table03;Extended Properties=&quot;&quot;" command="SELECT * FROM [Table0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<sst xmlns="http://schemas.openxmlformats.org/spreadsheetml/2006/main" count="1933" uniqueCount="1446">
  <si>
    <t>Date</t>
  </si>
  <si>
    <t>Type</t>
  </si>
  <si>
    <t>Asset</t>
  </si>
  <si>
    <t>Value</t>
  </si>
  <si>
    <t>Fee</t>
  </si>
  <si>
    <t>Value2</t>
  </si>
  <si>
    <t>Quantity</t>
  </si>
  <si>
    <t>Coin value</t>
  </si>
  <si>
    <t>% change</t>
  </si>
  <si>
    <t>deposit</t>
  </si>
  <si>
    <t>spend</t>
  </si>
  <si>
    <t>receive</t>
  </si>
  <si>
    <t>XRP</t>
  </si>
  <si>
    <t>withdrawal</t>
  </si>
  <si>
    <t>Column1.id</t>
  </si>
  <si>
    <t>Column1.symbol</t>
  </si>
  <si>
    <t>Column1.name</t>
  </si>
  <si>
    <t>Column1.image</t>
  </si>
  <si>
    <t>Column1.current_price</t>
  </si>
  <si>
    <t>Column1.market_cap</t>
  </si>
  <si>
    <t>Column1.market_cap_rank</t>
  </si>
  <si>
    <t>Column1.fully_diluted_valuation</t>
  </si>
  <si>
    <t>Column1.total_volume</t>
  </si>
  <si>
    <t>Column1.high_24h</t>
  </si>
  <si>
    <t>Column1.low_24h</t>
  </si>
  <si>
    <t>Column1.price_change_24h</t>
  </si>
  <si>
    <t>Column1.price_change_percentage_24h</t>
  </si>
  <si>
    <t>Column1.market_cap_change_24h</t>
  </si>
  <si>
    <t>Column1.market_cap_change_percentage_24h</t>
  </si>
  <si>
    <t>Column1.circulating_supply</t>
  </si>
  <si>
    <t>Column1.total_supply</t>
  </si>
  <si>
    <t>Column1.max_supply</t>
  </si>
  <si>
    <t>Column1.ath</t>
  </si>
  <si>
    <t>Column1.ath_change_percentage</t>
  </si>
  <si>
    <t>Column1.ath_date</t>
  </si>
  <si>
    <t>Column1.atl</t>
  </si>
  <si>
    <t>Column1.atl_change_percentage</t>
  </si>
  <si>
    <t>Column1.atl_date</t>
  </si>
  <si>
    <t>Column1.roi</t>
  </si>
  <si>
    <t>Column1.last_updated</t>
  </si>
  <si>
    <t>Column1.price_change_percentage_1h_in_currency</t>
  </si>
  <si>
    <t>Column1.price_change_percentage_1y_in_currency</t>
  </si>
  <si>
    <t>Column1.price_change_percentage_30d_in_currency</t>
  </si>
  <si>
    <t>bitcoin</t>
  </si>
  <si>
    <t>btc</t>
  </si>
  <si>
    <t>Bitcoin</t>
  </si>
  <si>
    <t>https://assets.coingecko.com/coins/images/1/large/bitcoin.png?1547033579</t>
  </si>
  <si>
    <t>2021-11-10T14:24:11.849Z</t>
  </si>
  <si>
    <t>2013-07-05T00:00:00.000Z</t>
  </si>
  <si>
    <t>ethereum</t>
  </si>
  <si>
    <t>eth</t>
  </si>
  <si>
    <t>Ethereum</t>
  </si>
  <si>
    <t>https://assets.coingecko.com/coins/images/279/large/ethereum.png?1595348880</t>
  </si>
  <si>
    <t>2021-12-01T08:38:24.623Z</t>
  </si>
  <si>
    <t>2015-10-20T00:00:00.000Z</t>
  </si>
  <si>
    <t>[Record]</t>
  </si>
  <si>
    <t>tether</t>
  </si>
  <si>
    <t>usdt</t>
  </si>
  <si>
    <t>Tether</t>
  </si>
  <si>
    <t>https://assets.coingecko.com/coins/images/325/large/Tether-logo.png?1598003707</t>
  </si>
  <si>
    <t>2018-07-24T00:00:00.000Z</t>
  </si>
  <si>
    <t>2015-03-02T00:00:00.000Z</t>
  </si>
  <si>
    <t>usd-coin</t>
  </si>
  <si>
    <t>usdc</t>
  </si>
  <si>
    <t>USD Coin</t>
  </si>
  <si>
    <t>https://assets.coingecko.com/coins/images/6319/large/USD_Coin_icon.png?1547042389</t>
  </si>
  <si>
    <t>2019-05-08T00:40:28.300Z</t>
  </si>
  <si>
    <t>2021-05-19T13:14:05.611Z</t>
  </si>
  <si>
    <t>binancecoin</t>
  </si>
  <si>
    <t>bnb</t>
  </si>
  <si>
    <t>BNB</t>
  </si>
  <si>
    <t>https://assets.coingecko.com/coins/images/825/large/bnb-icon2_2x.png?1644979850</t>
  </si>
  <si>
    <t>2021-11-26T02:58:28.000Z</t>
  </si>
  <si>
    <t>2017-10-19T00:00:00.000Z</t>
  </si>
  <si>
    <t>ripple</t>
  </si>
  <si>
    <t>xrp</t>
  </si>
  <si>
    <t>https://assets.coingecko.com/coins/images/44/large/xrp-symbol-white-128.png?1605778731</t>
  </si>
  <si>
    <t>2018-01-07T00:00:00.000Z</t>
  </si>
  <si>
    <t>2013-08-16T00:00:00.000Z</t>
  </si>
  <si>
    <t>binance-usd</t>
  </si>
  <si>
    <t>busd</t>
  </si>
  <si>
    <t>Binance USD</t>
  </si>
  <si>
    <t>https://assets.coingecko.com/coins/images/9576/large/BUSD.png?1568947766</t>
  </si>
  <si>
    <t>2020-03-13T02:35:42.953Z</t>
  </si>
  <si>
    <t>2021-05-19T13:04:37.445Z</t>
  </si>
  <si>
    <t>cardano</t>
  </si>
  <si>
    <t>ada</t>
  </si>
  <si>
    <t>Cardano</t>
  </si>
  <si>
    <t>https://assets.coingecko.com/coins/images/975/large/cardano.png?1547034860</t>
  </si>
  <si>
    <t>2021-09-02T06:00:10.474Z</t>
  </si>
  <si>
    <t>2020-03-13T02:22:55.044Z</t>
  </si>
  <si>
    <t>solana</t>
  </si>
  <si>
    <t>sol</t>
  </si>
  <si>
    <t>Solana</t>
  </si>
  <si>
    <t>https://assets.coingecko.com/coins/images/4128/large/solana.png?1640133422</t>
  </si>
  <si>
    <t>2021-11-06T21:54:35.825Z</t>
  </si>
  <si>
    <t>2020-05-11T19:35:23.449Z</t>
  </si>
  <si>
    <t>dogecoin</t>
  </si>
  <si>
    <t>doge</t>
  </si>
  <si>
    <t>Dogecoin</t>
  </si>
  <si>
    <t>https://assets.coingecko.com/coins/images/5/large/dogecoin.png?1547792256</t>
  </si>
  <si>
    <t>2021-05-08T05:08:23.458Z</t>
  </si>
  <si>
    <t>2015-05-06T00:00:00.000Z</t>
  </si>
  <si>
    <t>polkadot</t>
  </si>
  <si>
    <t>dot</t>
  </si>
  <si>
    <t>Polkadot</t>
  </si>
  <si>
    <t>https://assets.coingecko.com/coins/images/12171/large/polkadot.png?1639712644</t>
  </si>
  <si>
    <t>2021-11-04T14:10:09.301Z</t>
  </si>
  <si>
    <t>2020-08-19T03:44:11.556Z</t>
  </si>
  <si>
    <t>wrapped-bitcoin</t>
  </si>
  <si>
    <t>wbtc</t>
  </si>
  <si>
    <t>Wrapped Bitcoin</t>
  </si>
  <si>
    <t>https://assets.coingecko.com/coins/images/7598/large/wrapped_bitcoin_wbtc.png?1548822744</t>
  </si>
  <si>
    <t>2021-11-10T14:40:19.650Z</t>
  </si>
  <si>
    <t>2019-04-02T00:00:00.000Z</t>
  </si>
  <si>
    <t>tron</t>
  </si>
  <si>
    <t>trx</t>
  </si>
  <si>
    <t>TRON</t>
  </si>
  <si>
    <t>https://assets.coingecko.com/coins/images/1094/large/tron-logo.png?1547035066</t>
  </si>
  <si>
    <t>2018-01-05T00:00:00.000Z</t>
  </si>
  <si>
    <t>2017-11-12T00:00:00.000Z</t>
  </si>
  <si>
    <t>staked-ether</t>
  </si>
  <si>
    <t>steth</t>
  </si>
  <si>
    <t>Lido Staked Ether</t>
  </si>
  <si>
    <t>https://assets.coingecko.com/coins/images/13442/large/steth_logo.png?1608607546</t>
  </si>
  <si>
    <t>2021-11-12T02:16:02.325Z</t>
  </si>
  <si>
    <t>2020-12-22T04:08:21.854Z</t>
  </si>
  <si>
    <t>avalanche-2</t>
  </si>
  <si>
    <t>avax</t>
  </si>
  <si>
    <t>Avalanche</t>
  </si>
  <si>
    <t>https://assets.coingecko.com/coins/images/12559/large/coin-round-red.png?1604021818</t>
  </si>
  <si>
    <t>2021-11-21T14:18:56.538Z</t>
  </si>
  <si>
    <t>2020-12-31T13:15:21.540Z</t>
  </si>
  <si>
    <t>dai</t>
  </si>
  <si>
    <t>Dai</t>
  </si>
  <si>
    <t>https://assets.coingecko.com/coins/images/9956/large/4943.png?1636636734</t>
  </si>
  <si>
    <t>2020-03-13T03:02:50.373Z</t>
  </si>
  <si>
    <t>2021-05-19T13:05:49.822Z</t>
  </si>
  <si>
    <t>shiba-inu</t>
  </si>
  <si>
    <t>shib</t>
  </si>
  <si>
    <t>Shiba Inu</t>
  </si>
  <si>
    <t>https://assets.coingecko.com/coins/images/11939/large/shiba.png?1622619446</t>
  </si>
  <si>
    <t>2021-10-28T03:54:55.568Z</t>
  </si>
  <si>
    <t>2020-12-11T05:57:22.476Z</t>
  </si>
  <si>
    <t>leo-token</t>
  </si>
  <si>
    <t>leo</t>
  </si>
  <si>
    <t>LEO Token</t>
  </si>
  <si>
    <t>https://assets.coingecko.com/coins/images/8418/large/leo-token.png?1558326215</t>
  </si>
  <si>
    <t>2022-02-08T17:40:10.285Z</t>
  </si>
  <si>
    <t>2019-12-31T12:19:48.870Z</t>
  </si>
  <si>
    <t>litecoin</t>
  </si>
  <si>
    <t>ltc</t>
  </si>
  <si>
    <t>Litecoin</t>
  </si>
  <si>
    <t>https://assets.coingecko.com/coins/images/2/large/litecoin.png?1547033580</t>
  </si>
  <si>
    <t>2021-05-10T03:13:07.904Z</t>
  </si>
  <si>
    <t>2015-01-14T00:00:00.000Z</t>
  </si>
  <si>
    <t>crypto-com-chain</t>
  </si>
  <si>
    <t>cro</t>
  </si>
  <si>
    <t>Cronos</t>
  </si>
  <si>
    <t>https://assets.coingecko.com/coins/images/7310/large/oCw2s3GI_400x400.jpeg?1645172042</t>
  </si>
  <si>
    <t>2021-11-24T15:53:54.855Z</t>
  </si>
  <si>
    <t>2019-02-08T00:00:00.000Z</t>
  </si>
  <si>
    <t>matic-network</t>
  </si>
  <si>
    <t>matic</t>
  </si>
  <si>
    <t>Polygon</t>
  </si>
  <si>
    <t>https://assets.coingecko.com/coins/images/4713/large/matic-token-icon.png?1624446912</t>
  </si>
  <si>
    <t>2021-12-27T02:08:34.307Z</t>
  </si>
  <si>
    <t>2019-05-10T00:00:00.000Z</t>
  </si>
  <si>
    <t>ftx-token</t>
  </si>
  <si>
    <t>ftt</t>
  </si>
  <si>
    <t>https://assets.coingecko.com/coins/images/9026/large/F.png?1609051564</t>
  </si>
  <si>
    <t>2021-09-09T14:40:05.204Z</t>
  </si>
  <si>
    <t>2019-09-07T00:00:00.000Z</t>
  </si>
  <si>
    <t>near</t>
  </si>
  <si>
    <t>NEAR Protocol</t>
  </si>
  <si>
    <t>https://assets.coingecko.com/coins/images/10365/large/near_icon.png?1601359077</t>
  </si>
  <si>
    <t>2022-04-08T07:23:59.952Z</t>
  </si>
  <si>
    <t>2020-11-04T16:09:15.137Z</t>
  </si>
  <si>
    <t>bitcoin-cash</t>
  </si>
  <si>
    <t>bch</t>
  </si>
  <si>
    <t>Bitcoin Cash</t>
  </si>
  <si>
    <t>https://assets.coingecko.com/coins/images/780/large/bitcoin-cash-circle.png?1594689492</t>
  </si>
  <si>
    <t>2017-12-20T00:00:00.000Z</t>
  </si>
  <si>
    <t>2018-12-16T00:00:00.000Z</t>
  </si>
  <si>
    <t>monero</t>
  </si>
  <si>
    <t>xmr</t>
  </si>
  <si>
    <t>Monero</t>
  </si>
  <si>
    <t>https://assets.coingecko.com/coins/images/69/large/monero_logo.png?1547033729</t>
  </si>
  <si>
    <t>2018-01-09T00:00:00.000Z</t>
  </si>
  <si>
    <t>stellar</t>
  </si>
  <si>
    <t>xlm</t>
  </si>
  <si>
    <t>Stellar</t>
  </si>
  <si>
    <t>https://assets.coingecko.com/coins/images/100/large/Stellar_symbol_black_RGB.png?1552356157</t>
  </si>
  <si>
    <t>2018-01-03T00:00:00.000Z</t>
  </si>
  <si>
    <t>2015-03-05T00:00:00.000Z</t>
  </si>
  <si>
    <t>ethereum-classic</t>
  </si>
  <si>
    <t>etc</t>
  </si>
  <si>
    <t>Ethereum Classic</t>
  </si>
  <si>
    <t>https://assets.coingecko.com/coins/images/453/large/ethereum-classic-logo.png?1547034169</t>
  </si>
  <si>
    <t>2021-05-06T18:34:22.133Z</t>
  </si>
  <si>
    <t>2016-07-25T00:00:00.000Z</t>
  </si>
  <si>
    <t>chainlink</t>
  </si>
  <si>
    <t>link</t>
  </si>
  <si>
    <t>Chainlink</t>
  </si>
  <si>
    <t>https://assets.coingecko.com/coins/images/877/large/chainlink-new-logo.png?1547034700</t>
  </si>
  <si>
    <t>2021-05-10T00:13:57.214Z</t>
  </si>
  <si>
    <t>2017-11-29T00:00:00.000Z</t>
  </si>
  <si>
    <t>okb</t>
  </si>
  <si>
    <t>OKB</t>
  </si>
  <si>
    <t>https://assets.coingecko.com/coins/images/4463/large/WeChat_Image_20220118095654.png?1642471050</t>
  </si>
  <si>
    <t>2021-05-03T01:03:16.108Z</t>
  </si>
  <si>
    <t>2019-01-14T00:00:00.000Z</t>
  </si>
  <si>
    <t>chain-2</t>
  </si>
  <si>
    <t>xcn</t>
  </si>
  <si>
    <t>Chain</t>
  </si>
  <si>
    <t>https://assets.coingecko.com/coins/images/24210/large/Chain_icon_200x200.png?1646895054</t>
  </si>
  <si>
    <t>cosmos</t>
  </si>
  <si>
    <t>atom</t>
  </si>
  <si>
    <t>Cosmos Hub</t>
  </si>
  <si>
    <t>https://assets.coingecko.com/coins/images/1481/large/cosmos_hub.png?1555657960</t>
  </si>
  <si>
    <t>2022-01-07T10:44:20.650Z</t>
  </si>
  <si>
    <t>2020-03-13T02:27:44.591Z</t>
  </si>
  <si>
    <t>algorand</t>
  </si>
  <si>
    <t>algo</t>
  </si>
  <si>
    <t>Algorand</t>
  </si>
  <si>
    <t>https://assets.coingecko.com/coins/images/4380/large/download.png?1547039725</t>
  </si>
  <si>
    <t>2019-06-20T14:51:19.480Z</t>
  </si>
  <si>
    <t>2020-03-13T02:20:48.438Z</t>
  </si>
  <si>
    <t>flow</t>
  </si>
  <si>
    <t>Flow</t>
  </si>
  <si>
    <t>https://assets.coingecko.com/coins/images/13446/large/5f6294c0c7a8cda55cb1c936_Flow_Wordmark.png?1631696776</t>
  </si>
  <si>
    <t>2021-04-05T13:49:10.098Z</t>
  </si>
  <si>
    <t>uniswap</t>
  </si>
  <si>
    <t>uni</t>
  </si>
  <si>
    <t>Uniswap</t>
  </si>
  <si>
    <t>https://assets.coingecko.com/coins/images/12504/large/uniswap-uni.png?1600306604</t>
  </si>
  <si>
    <t>2021-05-03T05:25:04.822Z</t>
  </si>
  <si>
    <t>2020-09-17T01:20:38.214Z</t>
  </si>
  <si>
    <t>vechain</t>
  </si>
  <si>
    <t>vet</t>
  </si>
  <si>
    <t>VeChain</t>
  </si>
  <si>
    <t>https://assets.coingecko.com/coins/images/1167/large/VeChain-Logo-768x725.png?1547035194</t>
  </si>
  <si>
    <t>2021-04-19T01:08:21.675Z</t>
  </si>
  <si>
    <t>2020-03-13T02:29:59.652Z</t>
  </si>
  <si>
    <t>theta-fuel</t>
  </si>
  <si>
    <t>tfuel</t>
  </si>
  <si>
    <t>Theta Fuel</t>
  </si>
  <si>
    <t>https://assets.coingecko.com/coins/images/8029/large/1_0YusgngOrriVg4ZYx4wOFQ.png?1553483622</t>
  </si>
  <si>
    <t>2021-06-09T06:50:55.818Z</t>
  </si>
  <si>
    <t>2020-03-13T02:30:37.972Z</t>
  </si>
  <si>
    <t>hedera-hashgraph</t>
  </si>
  <si>
    <t>hbar</t>
  </si>
  <si>
    <t>Hedera</t>
  </si>
  <si>
    <t>https://assets.coingecko.com/coins/images/3688/large/hbar.png?1637045634</t>
  </si>
  <si>
    <t>2021-09-15T10:40:28.318Z</t>
  </si>
  <si>
    <t>2020-01-02T17:30:24.852Z</t>
  </si>
  <si>
    <t>apecoin</t>
  </si>
  <si>
    <t>ape</t>
  </si>
  <si>
    <t>ApeCoin</t>
  </si>
  <si>
    <t>https://assets.coingecko.com/coins/images/24383/large/apecoin.jpg?1647476455</t>
  </si>
  <si>
    <t>2022-04-28T21:44:21.164Z</t>
  </si>
  <si>
    <t>tezos</t>
  </si>
  <si>
    <t>xtz</t>
  </si>
  <si>
    <t>Tezos</t>
  </si>
  <si>
    <t>https://assets.coingecko.com/coins/images/976/large/Tezos-logo.png?1547034862</t>
  </si>
  <si>
    <t>2021-10-04T00:41:18.025Z</t>
  </si>
  <si>
    <t>2018-12-07T00:00:00.000Z</t>
  </si>
  <si>
    <t>internet-computer</t>
  </si>
  <si>
    <t>icp</t>
  </si>
  <si>
    <t>Internet Computer</t>
  </si>
  <si>
    <t>https://assets.coingecko.com/coins/images/14495/large/Internet_Computer_logo.png?1620703073</t>
  </si>
  <si>
    <t>2021-05-10T16:05:53.653Z</t>
  </si>
  <si>
    <t>the-sandbox</t>
  </si>
  <si>
    <t>sand</t>
  </si>
  <si>
    <t>The Sandbox</t>
  </si>
  <si>
    <t>https://assets.coingecko.com/coins/images/12129/large/sandbox_logo.jpg?1597397942</t>
  </si>
  <si>
    <t>2021-11-25T06:04:40.957Z</t>
  </si>
  <si>
    <t>2020-11-04T15:59:14.441Z</t>
  </si>
  <si>
    <t>filecoin</t>
  </si>
  <si>
    <t>fil</t>
  </si>
  <si>
    <t>Filecoin</t>
  </si>
  <si>
    <t>https://assets.coingecko.com/coins/images/12817/large/filecoin.png?1602753933</t>
  </si>
  <si>
    <t>2021-04-01T13:29:41.564Z</t>
  </si>
  <si>
    <t>elrond-erd-2</t>
  </si>
  <si>
    <t>egld</t>
  </si>
  <si>
    <t>Elrond</t>
  </si>
  <si>
    <t>https://assets.coingecko.com/coins/images/12335/large/elrond3_360.png?1626341589</t>
  </si>
  <si>
    <t>2021-11-23T10:33:26.737Z</t>
  </si>
  <si>
    <t>2020-10-07T01:44:53.554Z</t>
  </si>
  <si>
    <t>kucoin-shares</t>
  </si>
  <si>
    <t>kcs</t>
  </si>
  <si>
    <t>https://assets.coingecko.com/coins/images/1047/large/sa9z79.png?1610678720</t>
  </si>
  <si>
    <t>2021-12-01T15:09:35.541Z</t>
  </si>
  <si>
    <t>2019-02-07T00:00:00.000Z</t>
  </si>
  <si>
    <t>axie-infinity</t>
  </si>
  <si>
    <t>axs</t>
  </si>
  <si>
    <t>Axie Infinity</t>
  </si>
  <si>
    <t>https://assets.coingecko.com/coins/images/13029/large/axie_infinity_logo.png?1604471082</t>
  </si>
  <si>
    <t>2021-11-06T19:29:29.482Z</t>
  </si>
  <si>
    <t>2020-11-06T08:05:43.662Z</t>
  </si>
  <si>
    <t>frax</t>
  </si>
  <si>
    <t>Frax</t>
  </si>
  <si>
    <t>https://assets.coingecko.com/coins/images/13422/large/frax_logo.png?1608476506</t>
  </si>
  <si>
    <t>2022-05-12T07:23:55.732Z</t>
  </si>
  <si>
    <t>2021-05-19T13:13:57.891Z</t>
  </si>
  <si>
    <t>decentraland</t>
  </si>
  <si>
    <t>mana</t>
  </si>
  <si>
    <t>Decentraland</t>
  </si>
  <si>
    <t>https://assets.coingecko.com/coins/images/878/large/decentraland-mana.png?1550108745</t>
  </si>
  <si>
    <t>2021-11-25T10:04:18.534Z</t>
  </si>
  <si>
    <t>2017-10-31T00:00:00.000Z</t>
  </si>
  <si>
    <t>compound-ether</t>
  </si>
  <si>
    <t>ceth</t>
  </si>
  <si>
    <t>cETH</t>
  </si>
  <si>
    <t>https://assets.coingecko.com/coins/images/10643/large/ceth2.JPG?1581389598</t>
  </si>
  <si>
    <t>2021-11-21T12:39:57.508Z</t>
  </si>
  <si>
    <t>2020-03-13T02:22:33.711Z</t>
  </si>
  <si>
    <t>aave</t>
  </si>
  <si>
    <t>Aave</t>
  </si>
  <si>
    <t>https://assets.coingecko.com/coins/images/12645/large/AAVE.png?1601374110</t>
  </si>
  <si>
    <t>2021-05-18T21:19:59.514Z</t>
  </si>
  <si>
    <t>2020-11-05T13:30:38.074Z</t>
  </si>
  <si>
    <t>true-usd</t>
  </si>
  <si>
    <t>tusd</t>
  </si>
  <si>
    <t>TrueUSD</t>
  </si>
  <si>
    <t>https://assets.coingecko.com/coins/images/3449/large/tusd.png?1618395665</t>
  </si>
  <si>
    <t>2018-08-26T20:41:09.375Z</t>
  </si>
  <si>
    <t>2021-05-19T13:15:08.268Z</t>
  </si>
  <si>
    <t>eos</t>
  </si>
  <si>
    <t>EOS</t>
  </si>
  <si>
    <t>https://assets.coingecko.com/coins/images/738/large/eos-eos-logo.png?1547034481</t>
  </si>
  <si>
    <t>2018-04-29T07:50:33.540Z</t>
  </si>
  <si>
    <t>2017-10-23T00:00:00.000Z</t>
  </si>
  <si>
    <t>compound-usd-coin</t>
  </si>
  <si>
    <t>cusdc</t>
  </si>
  <si>
    <t>cUSDC</t>
  </si>
  <si>
    <t>https://assets.coingecko.com/coins/images/9442/large/Compound_USDC.png?1567581577</t>
  </si>
  <si>
    <t>2020-10-21T11:24:27.820Z</t>
  </si>
  <si>
    <t>2021-03-04T08:11:37.438Z</t>
  </si>
  <si>
    <t>klay-token</t>
  </si>
  <si>
    <t>klay</t>
  </si>
  <si>
    <t>Klaytn</t>
  </si>
  <si>
    <t>https://assets.coingecko.com/coins/images/9672/large/klaytn.jpeg?1642775250</t>
  </si>
  <si>
    <t>2021-03-30T03:19:38.037Z</t>
  </si>
  <si>
    <t>2020-04-29T08:19:34.574Z</t>
  </si>
  <si>
    <t>defichain</t>
  </si>
  <si>
    <t>dfi</t>
  </si>
  <si>
    <t>DeFiChain</t>
  </si>
  <si>
    <t>https://assets.coingecko.com/coins/images/11757/large/symbol-defi-blockchain_200.png?1597306538</t>
  </si>
  <si>
    <t>2021-12-06T03:05:01.038Z</t>
  </si>
  <si>
    <t>2020-07-16T10:24:06.014Z</t>
  </si>
  <si>
    <t>huobi-btc</t>
  </si>
  <si>
    <t>hbtc</t>
  </si>
  <si>
    <t>Huobi BTC</t>
  </si>
  <si>
    <t>https://assets.coingecko.com/coins/images/12407/large/Unknown-5.png?1599624896</t>
  </si>
  <si>
    <t>2022-04-21T18:59:43.859Z</t>
  </si>
  <si>
    <t>2020-10-12T03:56:16.768Z</t>
  </si>
  <si>
    <t>theta-token</t>
  </si>
  <si>
    <t>theta</t>
  </si>
  <si>
    <t>Theta Network</t>
  </si>
  <si>
    <t>https://assets.coingecko.com/coins/images/2538/large/theta-token-logo.png?1548387191</t>
  </si>
  <si>
    <t>2021-04-16T13:15:11.190Z</t>
  </si>
  <si>
    <t>2020-03-13T02:24:16.483Z</t>
  </si>
  <si>
    <t>huobi-token</t>
  </si>
  <si>
    <t>ht</t>
  </si>
  <si>
    <t>https://assets.coingecko.com/coins/images/2822/large/huobi-token-logo.png?1547036992</t>
  </si>
  <si>
    <t>2021-05-12T14:42:21.586Z</t>
  </si>
  <si>
    <t>2019-01-30T00:00:00.000Z</t>
  </si>
  <si>
    <t>zcash</t>
  </si>
  <si>
    <t>zec</t>
  </si>
  <si>
    <t>Zcash</t>
  </si>
  <si>
    <t>https://assets.coingecko.com/coins/images/486/large/circle-zcash-color.png?1547034197</t>
  </si>
  <si>
    <t>2016-10-29T00:00:00.000Z</t>
  </si>
  <si>
    <t>2020-03-13T02:20:55.002Z</t>
  </si>
  <si>
    <t>maker</t>
  </si>
  <si>
    <t>mkr</t>
  </si>
  <si>
    <t>Maker</t>
  </si>
  <si>
    <t>https://assets.coingecko.com/coins/images/1364/large/Mark_Maker.png?1585191826</t>
  </si>
  <si>
    <t>2021-05-03T21:54:29.333Z</t>
  </si>
  <si>
    <t>2020-03-16T20:52:36.527Z</t>
  </si>
  <si>
    <t>bitcoin-cash-sv</t>
  </si>
  <si>
    <t>bsv</t>
  </si>
  <si>
    <t>Bitcoin SV</t>
  </si>
  <si>
    <t>https://assets.coingecko.com/coins/images/6799/large/BSV.png?1558947902</t>
  </si>
  <si>
    <t>2021-04-16T17:09:04.630Z</t>
  </si>
  <si>
    <t>2018-11-23T00:00:00.000Z</t>
  </si>
  <si>
    <t>paxos-standard</t>
  </si>
  <si>
    <t>usdp</t>
  </si>
  <si>
    <t>Pax Dollar</t>
  </si>
  <si>
    <t>https://assets.coingecko.com/coins/images/6013/large/Pax_Dollar.png?1629877204</t>
  </si>
  <si>
    <t>2022-05-12T07:21:27.654Z</t>
  </si>
  <si>
    <t>2021-05-19T13:14:42.046Z</t>
  </si>
  <si>
    <t>bittorrent</t>
  </si>
  <si>
    <t>btt</t>
  </si>
  <si>
    <t>BitTorrent</t>
  </si>
  <si>
    <t>https://assets.coingecko.com/coins/images/22457/large/btt_logo.png?1643857231</t>
  </si>
  <si>
    <t>2022-01-21T04:00:31.909Z</t>
  </si>
  <si>
    <t>the-graph</t>
  </si>
  <si>
    <t>grt</t>
  </si>
  <si>
    <t>The Graph</t>
  </si>
  <si>
    <t>https://assets.coingecko.com/coins/images/13397/large/Graph_Token.png?1608145566</t>
  </si>
  <si>
    <t>2021-02-12T07:28:45.775Z</t>
  </si>
  <si>
    <t>2020-12-17T21:28:41.332Z</t>
  </si>
  <si>
    <t>fantom</t>
  </si>
  <si>
    <t>ftm</t>
  </si>
  <si>
    <t>Fantom</t>
  </si>
  <si>
    <t>https://assets.coingecko.com/coins/images/4001/large/Fantom.png?1558015016</t>
  </si>
  <si>
    <t>2021-10-28T05:19:39.845Z</t>
  </si>
  <si>
    <t>2020-03-13T02:25:38.280Z</t>
  </si>
  <si>
    <t>ecash</t>
  </si>
  <si>
    <t>xec</t>
  </si>
  <si>
    <t>eCash</t>
  </si>
  <si>
    <t>https://assets.coingecko.com/coins/images/16646/large/Logo_final-22.png?1628239446</t>
  </si>
  <si>
    <t>2021-09-04T17:09:31.137Z</t>
  </si>
  <si>
    <t>2021-07-20T20:49:46.212Z</t>
  </si>
  <si>
    <t>quant-network</t>
  </si>
  <si>
    <t>qnt</t>
  </si>
  <si>
    <t>Quant</t>
  </si>
  <si>
    <t>https://assets.coingecko.com/coins/images/3370/large/5ZOu7brX_400x400.jpg?1612437252</t>
  </si>
  <si>
    <t>2021-09-11T09:15:00.668Z</t>
  </si>
  <si>
    <t>2018-08-23T00:00:00.000Z</t>
  </si>
  <si>
    <t>iota</t>
  </si>
  <si>
    <t>miota</t>
  </si>
  <si>
    <t>IOTA</t>
  </si>
  <si>
    <t>https://assets.coingecko.com/coins/images/692/large/IOTA_Swirl.png?1604238557</t>
  </si>
  <si>
    <t>2017-12-19T00:00:00.000Z</t>
  </si>
  <si>
    <t>2020-03-13T02:22:41.168Z</t>
  </si>
  <si>
    <t>neutrino</t>
  </si>
  <si>
    <t>usdn</t>
  </si>
  <si>
    <t>Neutrino USD</t>
  </si>
  <si>
    <t>https://assets.coingecko.com/coins/images/10117/large/78GWcZu.png?1600845716</t>
  </si>
  <si>
    <t>2021-03-17T18:34:56.998Z</t>
  </si>
  <si>
    <t>2022-04-04T18:19:50.217Z</t>
  </si>
  <si>
    <t>gatechain-token</t>
  </si>
  <si>
    <t>gt</t>
  </si>
  <si>
    <t>https://assets.coingecko.com/coins/images/8183/large/gt.png?1556085624</t>
  </si>
  <si>
    <t>2021-05-12T22:13:55.437Z</t>
  </si>
  <si>
    <t>2020-03-13T02:18:02.481Z</t>
  </si>
  <si>
    <t>radix</t>
  </si>
  <si>
    <t>xrd</t>
  </si>
  <si>
    <t>Radix</t>
  </si>
  <si>
    <t>https://assets.coingecko.com/coins/images/4374/large/Radix.png?1629701658</t>
  </si>
  <si>
    <t>2021-11-14T16:09:27.130Z</t>
  </si>
  <si>
    <t>pancakeswap-token</t>
  </si>
  <si>
    <t>cake</t>
  </si>
  <si>
    <t>PancakeSwap</t>
  </si>
  <si>
    <t>https://assets.coingecko.com/coins/images/12632/large/pancakeswap-cake-logo_%281%29.png?1629359065</t>
  </si>
  <si>
    <t>2021-04-30T10:08:22.934Z</t>
  </si>
  <si>
    <t>2020-11-03T14:29:34.165Z</t>
  </si>
  <si>
    <t>thorchain</t>
  </si>
  <si>
    <t>rune</t>
  </si>
  <si>
    <t>THORChain</t>
  </si>
  <si>
    <t>https://assets.coingecko.com/coins/images/6595/large/RUNE.png?1614160507</t>
  </si>
  <si>
    <t>2021-05-19T00:30:09.436Z</t>
  </si>
  <si>
    <t>2019-09-28T00:00:00.000Z</t>
  </si>
  <si>
    <t>neo</t>
  </si>
  <si>
    <t>NEO</t>
  </si>
  <si>
    <t>https://assets.coingecko.com/coins/images/480/large/NEO_512_512.png?1594357361</t>
  </si>
  <si>
    <t>2018-01-15T00:00:00.000Z</t>
  </si>
  <si>
    <t>2016-10-21T00:00:00.000Z</t>
  </si>
  <si>
    <t>cdai</t>
  </si>
  <si>
    <t>cDAI</t>
  </si>
  <si>
    <t>https://assets.coingecko.com/coins/images/9281/large/cDAI.png?1576467585</t>
  </si>
  <si>
    <t>2020-10-12T21:29:00.007Z</t>
  </si>
  <si>
    <t>2020-03-18T04:29:40.819Z</t>
  </si>
  <si>
    <t>helium</t>
  </si>
  <si>
    <t>hnt</t>
  </si>
  <si>
    <t>Helium</t>
  </si>
  <si>
    <t>https://assets.coingecko.com/coins/images/4284/large/Helium_HNT.png?1612620071</t>
  </si>
  <si>
    <t>2021-11-12T23:08:25.301Z</t>
  </si>
  <si>
    <t>2020-04-18T00:19:10.902Z</t>
  </si>
  <si>
    <t>nexo</t>
  </si>
  <si>
    <t>NEXO</t>
  </si>
  <si>
    <t>https://assets.coingecko.com/coins/images/3695/large/nexo.png?1548086057</t>
  </si>
  <si>
    <t>2021-05-12T14:37:47.535Z</t>
  </si>
  <si>
    <t>2018-09-13T00:00:00.000Z</t>
  </si>
  <si>
    <t>zilliqa</t>
  </si>
  <si>
    <t>zil</t>
  </si>
  <si>
    <t>Zilliqa</t>
  </si>
  <si>
    <t>https://assets.coingecko.com/coins/images/2687/large/Zilliqa-logo.png?1547036894</t>
  </si>
  <si>
    <t>2021-04-17T06:39:37.521Z</t>
  </si>
  <si>
    <t>2020-03-13T02:22:55.161Z</t>
  </si>
  <si>
    <t>bitdao</t>
  </si>
  <si>
    <t>bit</t>
  </si>
  <si>
    <t>BitDAO</t>
  </si>
  <si>
    <t>2021-11-12T04:54:56.433Z</t>
  </si>
  <si>
    <t>arweave</t>
  </si>
  <si>
    <t>ar</t>
  </si>
  <si>
    <t>Arweave</t>
  </si>
  <si>
    <t>https://assets.coingecko.com/coins/images/4343/large/oRt6SiEN_400x400.jpg?1591059616</t>
  </si>
  <si>
    <t>2021-11-05T04:14:42.689Z</t>
  </si>
  <si>
    <t>2020-01-31T06:47:36.543Z</t>
  </si>
  <si>
    <t>pax-gold</t>
  </si>
  <si>
    <t>paxg</t>
  </si>
  <si>
    <t>PAX Gold</t>
  </si>
  <si>
    <t>https://assets.coingecko.com/coins/images/9519/large/paxg.PNG?1568542565</t>
  </si>
  <si>
    <t>2022-03-09T03:39:48.399Z</t>
  </si>
  <si>
    <t>2019-11-18T03:09:35.959Z</t>
  </si>
  <si>
    <t>usdd</t>
  </si>
  <si>
    <t>USDD</t>
  </si>
  <si>
    <t>https://assets.coingecko.com/coins/images/25380/large/UUSD.jpg?1651823371</t>
  </si>
  <si>
    <t>2022-05-12T07:24:01.007Z</t>
  </si>
  <si>
    <t>dash</t>
  </si>
  <si>
    <t>Dash</t>
  </si>
  <si>
    <t>https://assets.coingecko.com/coins/images/19/large/dash-logo.png?1548385930</t>
  </si>
  <si>
    <t>2014-02-14T00:00:00.000Z</t>
  </si>
  <si>
    <t>kusama</t>
  </si>
  <si>
    <t>ksm</t>
  </si>
  <si>
    <t>Kusama</t>
  </si>
  <si>
    <t>https://assets.coingecko.com/coins/images/9568/large/m4zRhP5e_400x400.jpg?1576190080</t>
  </si>
  <si>
    <t>2021-05-18T05:04:41.858Z</t>
  </si>
  <si>
    <t>2020-01-14T19:20:20.768Z</t>
  </si>
  <si>
    <t>chiliz</t>
  </si>
  <si>
    <t>chz</t>
  </si>
  <si>
    <t>Chiliz</t>
  </si>
  <si>
    <t>https://assets.coingecko.com/coins/images/8834/large/Chiliz.png?1561970540</t>
  </si>
  <si>
    <t>2021-03-13T08:04:21.200Z</t>
  </si>
  <si>
    <t>loopring</t>
  </si>
  <si>
    <t>lrc</t>
  </si>
  <si>
    <t>Loopring</t>
  </si>
  <si>
    <t>https://assets.coingecko.com/coins/images/913/large/LRC.png?1572852344</t>
  </si>
  <si>
    <t>2021-11-25T00:23:28.717Z</t>
  </si>
  <si>
    <t>2019-12-18T13:14:41.553Z</t>
  </si>
  <si>
    <t>compound-usdt</t>
  </si>
  <si>
    <t>cusdt</t>
  </si>
  <si>
    <t>cUSDT</t>
  </si>
  <si>
    <t>https://assets.coingecko.com/coins/images/11621/large/cUSDT.png?1592113270</t>
  </si>
  <si>
    <t>2022-01-29T20:36:30.055Z</t>
  </si>
  <si>
    <t>2020-07-04T17:59:08.922Z</t>
  </si>
  <si>
    <t>convex-finance</t>
  </si>
  <si>
    <t>cvx</t>
  </si>
  <si>
    <t>Convex Finance</t>
  </si>
  <si>
    <t>https://assets.coingecko.com/coins/images/15585/large/convex.png?1621256328</t>
  </si>
  <si>
    <t>2022-01-01T18:04:03.030Z</t>
  </si>
  <si>
    <t>2021-07-20T13:17:29.183Z</t>
  </si>
  <si>
    <t>evmos</t>
  </si>
  <si>
    <t>Evmos</t>
  </si>
  <si>
    <t>2022-04-28T21:20:31.780Z</t>
  </si>
  <si>
    <t>stepn</t>
  </si>
  <si>
    <t>gmt</t>
  </si>
  <si>
    <t>STEPN</t>
  </si>
  <si>
    <t>https://assets.coingecko.com/coins/images/23597/large/gmt.png?1644658792</t>
  </si>
  <si>
    <t>2022-04-28T03:29:53.820Z</t>
  </si>
  <si>
    <t>2022-03-11T06:04:31.100Z</t>
  </si>
  <si>
    <t>celo</t>
  </si>
  <si>
    <t>Celo</t>
  </si>
  <si>
    <t>https://assets.coingecko.com/coins/images/11090/large/icon-celo-CELO-color-500.png?1592293590</t>
  </si>
  <si>
    <t>2021-08-30T14:25:09.929Z</t>
  </si>
  <si>
    <t>2020-05-22T04:15:27.736Z</t>
  </si>
  <si>
    <t>amp-token</t>
  </si>
  <si>
    <t>amp</t>
  </si>
  <si>
    <t>Amp</t>
  </si>
  <si>
    <t>https://assets.coingecko.com/coins/images/12409/large/amp-200x200.png?1599625397</t>
  </si>
  <si>
    <t>2021-06-16T16:03:41.147Z</t>
  </si>
  <si>
    <t>2020-11-04T13:18:12.191Z</t>
  </si>
  <si>
    <t>enjincoin</t>
  </si>
  <si>
    <t>enj</t>
  </si>
  <si>
    <t>Enjin Coin</t>
  </si>
  <si>
    <t>https://assets.coingecko.com/coins/images/1102/large/enjin-coin-logo.png?1547035078</t>
  </si>
  <si>
    <t>2021-11-25T09:53:41.955Z</t>
  </si>
  <si>
    <t>fei-usd</t>
  </si>
  <si>
    <t>fei</t>
  </si>
  <si>
    <t>Fei USD</t>
  </si>
  <si>
    <t>https://assets.coingecko.com/coins/images/14570/large/ZqsF51Re_400x400.png?1617082206</t>
  </si>
  <si>
    <t>2022-05-12T07:35:28.464Z</t>
  </si>
  <si>
    <t>2021-04-18T03:44:09.238Z</t>
  </si>
  <si>
    <t>basic-attention-token</t>
  </si>
  <si>
    <t>bat</t>
  </si>
  <si>
    <t>https://assets.coingecko.com/coins/images/677/large/basic-attention-token.png?1547034427</t>
  </si>
  <si>
    <t>2021-11-28T00:23:51.354Z</t>
  </si>
  <si>
    <t>2017-07-16T00:00:00.000Z</t>
  </si>
  <si>
    <t>gala</t>
  </si>
  <si>
    <t>Gala</t>
  </si>
  <si>
    <t>https://assets.coingecko.com/coins/images/12493/large/GALA-COINGECKO.png?1600233435</t>
  </si>
  <si>
    <t>2021-11-26T01:03:48.731Z</t>
  </si>
  <si>
    <t>2020-12-28T08:46:48.367Z</t>
  </si>
  <si>
    <t>havven</t>
  </si>
  <si>
    <t>snx</t>
  </si>
  <si>
    <t>https://assets.coingecko.com/coins/images/3406/large/SNX.png?1598631139</t>
  </si>
  <si>
    <t>2021-02-14T01:12:38.505Z</t>
  </si>
  <si>
    <t>2019-01-11T00:00:00.000Z</t>
  </si>
  <si>
    <t>blockstack</t>
  </si>
  <si>
    <t>stx</t>
  </si>
  <si>
    <t>Stacks</t>
  </si>
  <si>
    <t>https://assets.coingecko.com/coins/images/2069/large/Stacks_logo_full.png?1604112510</t>
  </si>
  <si>
    <t>2021-12-01T01:32:34.725Z</t>
  </si>
  <si>
    <t>2020-03-13T02:29:26.415Z</t>
  </si>
  <si>
    <t>osmosis</t>
  </si>
  <si>
    <t>osmo</t>
  </si>
  <si>
    <t>Osmosis</t>
  </si>
  <si>
    <t>https://assets.coingecko.com/coins/images/16724/large/osmo.png?1632763885</t>
  </si>
  <si>
    <t>2022-03-04T09:07:48.952Z</t>
  </si>
  <si>
    <t>flex-coin</t>
  </si>
  <si>
    <t>flex</t>
  </si>
  <si>
    <t>FLEX Coin</t>
  </si>
  <si>
    <t>https://assets.coingecko.com/coins/images/9108/large/coinflex_logo.png?1628750583</t>
  </si>
  <si>
    <t>2021-12-22T02:44:42.437Z</t>
  </si>
  <si>
    <t>2020-08-04T09:45:30.049Z</t>
  </si>
  <si>
    <t>harmony</t>
  </si>
  <si>
    <t>one</t>
  </si>
  <si>
    <t>Harmony</t>
  </si>
  <si>
    <t>https://assets.coingecko.com/coins/images/4344/large/Y88JAze.png?1565065793</t>
  </si>
  <si>
    <t>2022-01-14T17:33:02.323Z</t>
  </si>
  <si>
    <t>2020-03-13T02:24:14.005Z</t>
  </si>
  <si>
    <t>gnosis</t>
  </si>
  <si>
    <t>gno</t>
  </si>
  <si>
    <t>Gnosis</t>
  </si>
  <si>
    <t>https://assets.coingecko.com/coins/images/662/large/logo_square_simple_300px.png?1609402668</t>
  </si>
  <si>
    <t>2021-11-08T17:33:29.302Z</t>
  </si>
  <si>
    <t>2020-03-13T02:24:11.825Z</t>
  </si>
  <si>
    <t>xdce-crowd-sale</t>
  </si>
  <si>
    <t>xdc</t>
  </si>
  <si>
    <t>XDC Network</t>
  </si>
  <si>
    <t>https://assets.coingecko.com/coins/images/2912/large/xdc-icon.png?1633700890</t>
  </si>
  <si>
    <t>2021-08-21T04:39:48.324Z</t>
  </si>
  <si>
    <t>2019-07-22T00:00:00.000Z</t>
  </si>
  <si>
    <t>curve-dao-token</t>
  </si>
  <si>
    <t>crv</t>
  </si>
  <si>
    <t>Curve DAO</t>
  </si>
  <si>
    <t>https://assets.coingecko.com/coins/images/12124/large/Curve.png?1597369484</t>
  </si>
  <si>
    <t>2020-11-05T13:09:50.181Z</t>
  </si>
  <si>
    <t>decred</t>
  </si>
  <si>
    <t>dcr</t>
  </si>
  <si>
    <t>Decred</t>
  </si>
  <si>
    <t>https://assets.coingecko.com/coins/images/329/large/decred.png?1547034093</t>
  </si>
  <si>
    <t>2021-04-17T00:41:14.790Z</t>
  </si>
  <si>
    <t>2016-12-26T00:00:00.000Z</t>
  </si>
  <si>
    <t>tether-gold</t>
  </si>
  <si>
    <t>xaut</t>
  </si>
  <si>
    <t>Tether Gold</t>
  </si>
  <si>
    <t>https://assets.coingecko.com/coins/images/10481/large/tether-gold.png?1579946148</t>
  </si>
  <si>
    <t>2022-03-08T17:14:56.219Z</t>
  </si>
  <si>
    <t>2020-03-12T23:32:32.137Z</t>
  </si>
  <si>
    <t>kava</t>
  </si>
  <si>
    <t>Kava</t>
  </si>
  <si>
    <t>https://assets.coingecko.com/coins/images/9761/large/kava.jpg?1639703080</t>
  </si>
  <si>
    <t>2021-08-30T11:10:02.948Z</t>
  </si>
  <si>
    <t>2020-03-13T02:24:16.835Z</t>
  </si>
  <si>
    <t>bitcoin-gold</t>
  </si>
  <si>
    <t>btg</t>
  </si>
  <si>
    <t>Bitcoin Gold</t>
  </si>
  <si>
    <t>https://assets.coingecko.com/coins/images/1043/large/bitcoin-gold-logo.png?1547034978</t>
  </si>
  <si>
    <t>2020-03-13T02:22:52.902Z</t>
  </si>
  <si>
    <t>mina-protocol</t>
  </si>
  <si>
    <t>mina</t>
  </si>
  <si>
    <t>Mina Protocol</t>
  </si>
  <si>
    <t>https://assets.coingecko.com/coins/images/15628/large/JM4_vQ34_400x400.png?1621394004</t>
  </si>
  <si>
    <t>2021-06-01T01:42:37.064Z</t>
  </si>
  <si>
    <t>maiar-dex</t>
  </si>
  <si>
    <t>mex</t>
  </si>
  <si>
    <t>Maiar DEX</t>
  </si>
  <si>
    <t>https://assets.coingecko.com/coins/images/20657/large/MEX-icon.png?1637540149</t>
  </si>
  <si>
    <t>2021-12-02T02:08:57.932Z</t>
  </si>
  <si>
    <t>waves</t>
  </si>
  <si>
    <t>Waves</t>
  </si>
  <si>
    <t>https://assets.coingecko.com/coins/images/425/large/waves.png?1548386117</t>
  </si>
  <si>
    <t>2022-03-31T14:34:44.545Z</t>
  </si>
  <si>
    <t>2016-08-02T00:00:00.000Z</t>
  </si>
  <si>
    <t>nem</t>
  </si>
  <si>
    <t>xem</t>
  </si>
  <si>
    <t>NEM</t>
  </si>
  <si>
    <t>https://assets.coingecko.com/coins/images/242/large/NEM_WC_Logo_200px.png?1642668663</t>
  </si>
  <si>
    <t>2015-08-25T00:00:00.000Z</t>
  </si>
  <si>
    <t>holotoken</t>
  </si>
  <si>
    <t>hot</t>
  </si>
  <si>
    <t>Holo</t>
  </si>
  <si>
    <t>https://assets.coingecko.com/coins/images/3348/large/Holologo_Profile.png?1547037966</t>
  </si>
  <si>
    <t>2021-04-05T16:04:52.608Z</t>
  </si>
  <si>
    <t>2020-03-13T02:23:01.612Z</t>
  </si>
  <si>
    <t>frax-share</t>
  </si>
  <si>
    <t>fxs</t>
  </si>
  <si>
    <t>Frax Share</t>
  </si>
  <si>
    <t>https://assets.coingecko.com/coins/images/13423/large/frax_share.png?1608478989</t>
  </si>
  <si>
    <t>2022-04-03T17:24:11.513Z</t>
  </si>
  <si>
    <t>2021-06-25T16:50:51.447Z</t>
  </si>
  <si>
    <t>safemoon-2</t>
  </si>
  <si>
    <t>sfm</t>
  </si>
  <si>
    <t>SafeMoon</t>
  </si>
  <si>
    <t>https://assets.coingecko.com/coins/images/21863/large/photo_2021-12-22_14.43.36.jpeg?1640155440</t>
  </si>
  <si>
    <t>2022-01-05T17:56:02.772Z</t>
  </si>
  <si>
    <t>2022-03-24T19:12:56.853Z</t>
  </si>
  <si>
    <t>lido-dao</t>
  </si>
  <si>
    <t>ldo</t>
  </si>
  <si>
    <t>Lido DAO</t>
  </si>
  <si>
    <t>https://assets.coingecko.com/coins/images/13573/large/Lido_DAO.png?1609873644</t>
  </si>
  <si>
    <t>2021-08-20T08:35:20.158Z</t>
  </si>
  <si>
    <t>2021-03-23T06:56:59.032Z</t>
  </si>
  <si>
    <t>nxm</t>
  </si>
  <si>
    <t>Nexus Mutual</t>
  </si>
  <si>
    <t>https://assets.coingecko.com/coins/images/11810/large/nexus-mutual.jpg?1594547726</t>
  </si>
  <si>
    <t>2021-11-10T16:08:03.198Z</t>
  </si>
  <si>
    <t>2020-07-22T19:54:06.406Z</t>
  </si>
  <si>
    <t>ecomi</t>
  </si>
  <si>
    <t>omi</t>
  </si>
  <si>
    <t>ECOMI</t>
  </si>
  <si>
    <t>https://assets.coingecko.com/coins/images/4428/large/ECOMI.png?1557928886</t>
  </si>
  <si>
    <t>2021-03-19T17:20:53.999Z</t>
  </si>
  <si>
    <t>2019-11-04T10:52:42.729Z</t>
  </si>
  <si>
    <t>oec-token</t>
  </si>
  <si>
    <t>okt</t>
  </si>
  <si>
    <t>OKC</t>
  </si>
  <si>
    <t>https://assets.coingecko.com/coins/images/13708/large/WeChat_Image_20220118095654.png?1642471094</t>
  </si>
  <si>
    <t>2021-04-15T03:24:45.615Z</t>
  </si>
  <si>
    <t>qtum</t>
  </si>
  <si>
    <t>Qtum</t>
  </si>
  <si>
    <t>https://assets.coingecko.com/coins/images/684/large/Qtum_Logo_blue_CG.png?1637155875</t>
  </si>
  <si>
    <t>2018-01-06T00:00:00.000Z</t>
  </si>
  <si>
    <t>2020-03-13T02:22:57.149Z</t>
  </si>
  <si>
    <t>compound-governance-token</t>
  </si>
  <si>
    <t>comp</t>
  </si>
  <si>
    <t>Compound</t>
  </si>
  <si>
    <t>https://assets.coingecko.com/coins/images/10775/large/COMP.png?1592625425</t>
  </si>
  <si>
    <t>2021-05-12T02:29:08.794Z</t>
  </si>
  <si>
    <t>magic-internet-money</t>
  </si>
  <si>
    <t>mim</t>
  </si>
  <si>
    <t>Magic Internet Money</t>
  </si>
  <si>
    <t>https://assets.coingecko.com/coins/images/16786/large/mimlogopng.png?1624979612</t>
  </si>
  <si>
    <t>2021-09-07T15:20:44.052Z</t>
  </si>
  <si>
    <t>tokenize-xchange</t>
  </si>
  <si>
    <t>tkx</t>
  </si>
  <si>
    <t>Tokenize Xchange</t>
  </si>
  <si>
    <t>https://assets.coingecko.com/coins/images/4984/large/Tokenize.png?1561602968</t>
  </si>
  <si>
    <t>2021-11-10T15:51:13.177Z</t>
  </si>
  <si>
    <t>2019-04-28T00:00:00.000Z</t>
  </si>
  <si>
    <t>1inch</t>
  </si>
  <si>
    <t>https://assets.coingecko.com/coins/images/13469/large/1inch-token.png?1608803028</t>
  </si>
  <si>
    <t>2021-10-27T08:24:54.808Z</t>
  </si>
  <si>
    <t>kadena</t>
  </si>
  <si>
    <t>kda</t>
  </si>
  <si>
    <t>Kadena</t>
  </si>
  <si>
    <t>https://assets.coingecko.com/coins/images/3693/large/djLWD6mR_400x400.jpg?1591080616</t>
  </si>
  <si>
    <t>2021-11-11T13:22:45.731Z</t>
  </si>
  <si>
    <t>2020-03-13T02:00:28.582Z</t>
  </si>
  <si>
    <t>iostoken</t>
  </si>
  <si>
    <t>iost</t>
  </si>
  <si>
    <t>IOST</t>
  </si>
  <si>
    <t>https://assets.coingecko.com/coins/images/2523/large/IOST.png?1557555183</t>
  </si>
  <si>
    <t>2018-01-24T00:00:00.000Z</t>
  </si>
  <si>
    <t>2020-03-13T02:25:35.257Z</t>
  </si>
  <si>
    <t>olympus</t>
  </si>
  <si>
    <t>ohm</t>
  </si>
  <si>
    <t>Olympus</t>
  </si>
  <si>
    <t>https://assets.coingecko.com/coins/images/14483/large/token_OHM_%281%29.png?1628311611</t>
  </si>
  <si>
    <t>2021-04-29T00:00:00.000Z</t>
  </si>
  <si>
    <t>everdome</t>
  </si>
  <si>
    <t>dome</t>
  </si>
  <si>
    <t>Everdome</t>
  </si>
  <si>
    <t>https://assets.coingecko.com/coins/images/23267/large/Ix-ms0fq_400x400.jpg?1643414048</t>
  </si>
  <si>
    <t>2022-02-17T10:40:37.142Z</t>
  </si>
  <si>
    <t>serum</t>
  </si>
  <si>
    <t>srm</t>
  </si>
  <si>
    <t>Serum</t>
  </si>
  <si>
    <t>https://assets.coingecko.com/coins/images/11970/large/serum-logo.png?1597121577</t>
  </si>
  <si>
    <t>2021-09-11T02:45:47.994Z</t>
  </si>
  <si>
    <t>2020-08-11T13:32:04.611Z</t>
  </si>
  <si>
    <t>iotex</t>
  </si>
  <si>
    <t>iotx</t>
  </si>
  <si>
    <t>IoTeX</t>
  </si>
  <si>
    <t>https://assets.coingecko.com/coins/images/3334/large/iotex-logo.png?1547037941</t>
  </si>
  <si>
    <t>2021-11-13T16:54:18.643Z</t>
  </si>
  <si>
    <t>2020-03-13T02:29:47.597Z</t>
  </si>
  <si>
    <t>omisego</t>
  </si>
  <si>
    <t>omg</t>
  </si>
  <si>
    <t>OMG Network</t>
  </si>
  <si>
    <t>https://assets.coingecko.com/coins/images/776/large/OMG_Network.jpg?1591167168</t>
  </si>
  <si>
    <t>2020-03-13T02:30:10.072Z</t>
  </si>
  <si>
    <t>liquity-usd</t>
  </si>
  <si>
    <t>lusd</t>
  </si>
  <si>
    <t>Liquity USD</t>
  </si>
  <si>
    <t>https://assets.coingecko.com/coins/images/14666/large/Group_3.png?1617631327</t>
  </si>
  <si>
    <t>2021-05-21T14:38:31.217Z</t>
  </si>
  <si>
    <t>moonbeam</t>
  </si>
  <si>
    <t>glmr</t>
  </si>
  <si>
    <t>Moonbeam</t>
  </si>
  <si>
    <t>https://assets.coingecko.com/coins/images/22459/large/glmr.png?1641880985</t>
  </si>
  <si>
    <t>2022-01-11T14:57:46.115Z</t>
  </si>
  <si>
    <t>husd</t>
  </si>
  <si>
    <t>HUSD</t>
  </si>
  <si>
    <t>https://assets.coingecko.com/coins/images/9567/large/HUSD.jpg?1568889385</t>
  </si>
  <si>
    <t>2020-03-13T02:40:09.956Z</t>
  </si>
  <si>
    <t>2021-01-05T00:00:00.000Z</t>
  </si>
  <si>
    <t>0x</t>
  </si>
  <si>
    <t>zrx</t>
  </si>
  <si>
    <t>https://assets.coingecko.com/coins/images/863/large/0x.png?1547034672</t>
  </si>
  <si>
    <t>2018-07-28T14:41:06.104Z</t>
  </si>
  <si>
    <t>2020-03-13T02:27:49.563Z</t>
  </si>
  <si>
    <t>bancor</t>
  </si>
  <si>
    <t>bnt</t>
  </si>
  <si>
    <t>https://assets.coingecko.com/coins/images/736/large/bancor-bnt.png?1628822309</t>
  </si>
  <si>
    <t>2020-03-13T02:29:21.245Z</t>
  </si>
  <si>
    <t>ln</t>
  </si>
  <si>
    <t>LINK</t>
  </si>
  <si>
    <t>https://assets.coingecko.com/coins/images/6450/large/linklogo.png?1547042644</t>
  </si>
  <si>
    <t>2021-04-01T22:19:00.034Z</t>
  </si>
  <si>
    <t>2018-12-26T00:00:00.000Z</t>
  </si>
  <si>
    <t>livepeer</t>
  </si>
  <si>
    <t>lpt</t>
  </si>
  <si>
    <t>Livepeer</t>
  </si>
  <si>
    <t>https://assets.coingecko.com/coins/images/7137/large/logo-circle-green.png?1619593365</t>
  </si>
  <si>
    <t>2021-11-09T16:58:44.554Z</t>
  </si>
  <si>
    <t>2019-10-26T22:59:09.500Z</t>
  </si>
  <si>
    <t>just</t>
  </si>
  <si>
    <t>jst</t>
  </si>
  <si>
    <t>JUST</t>
  </si>
  <si>
    <t>https://assets.coingecko.com/coins/images/11095/large/JUST.jpg?1588175394</t>
  </si>
  <si>
    <t>2021-04-05T04:34:23.454Z</t>
  </si>
  <si>
    <t>2020-05-09T06:08:54.872Z</t>
  </si>
  <si>
    <t>songbird</t>
  </si>
  <si>
    <t>sgb</t>
  </si>
  <si>
    <t>Songbird</t>
  </si>
  <si>
    <t>https://assets.coingecko.com/coins/images/18663/large/SGB_512x512.png?1645088006</t>
  </si>
  <si>
    <t>2021-09-30T06:32:35.621Z</t>
  </si>
  <si>
    <t>2022-05-16T10:36:10.628Z</t>
  </si>
  <si>
    <t>ankr</t>
  </si>
  <si>
    <t>Ankr</t>
  </si>
  <si>
    <t>https://assets.coingecko.com/coins/images/4324/large/U85xTl2.png?1608111978</t>
  </si>
  <si>
    <t>2021-11-27T03:14:20.459Z</t>
  </si>
  <si>
    <t>2020-03-13T02:24:03.563Z</t>
  </si>
  <si>
    <t>sushi</t>
  </si>
  <si>
    <t>Sushi</t>
  </si>
  <si>
    <t>https://assets.coingecko.com/coins/images/12271/large/512x512_Logo_no_chop.png?1606986688</t>
  </si>
  <si>
    <t>2021-03-13T23:44:36.774Z</t>
  </si>
  <si>
    <t>2020-11-04T16:03:44.715Z</t>
  </si>
  <si>
    <t>xido-finance</t>
  </si>
  <si>
    <t>xido</t>
  </si>
  <si>
    <t>Xido Finance</t>
  </si>
  <si>
    <t>https://assets.coingecko.com/coins/images/16161/large/KJw4clj.png?1623141959</t>
  </si>
  <si>
    <t>2021-06-09T18:56:55.804Z</t>
  </si>
  <si>
    <t>2022-05-18T09:51:32.442Z</t>
  </si>
  <si>
    <t>gemini-dollar</t>
  </si>
  <si>
    <t>gusd</t>
  </si>
  <si>
    <t>Gemini Dollar</t>
  </si>
  <si>
    <t>https://assets.coingecko.com/coins/images/5992/large/gemini-dollar-gusd.png?1536745278</t>
  </si>
  <si>
    <t>2018-10-11T17:36:21.529Z</t>
  </si>
  <si>
    <t>2018-09-29T00:00:00.000Z</t>
  </si>
  <si>
    <t>juno-network</t>
  </si>
  <si>
    <t>juno</t>
  </si>
  <si>
    <t>JUNO</t>
  </si>
  <si>
    <t>https://assets.coingecko.com/coins/images/19249/large/juno.png?1642838082</t>
  </si>
  <si>
    <t>2022-03-04T14:27:57.617Z</t>
  </si>
  <si>
    <t>safemoon</t>
  </si>
  <si>
    <t>SafeMoon [OLD]</t>
  </si>
  <si>
    <t>https://assets.coingecko.com/coins/images/14362/large/174x174-white.png?1617174846</t>
  </si>
  <si>
    <t>2021-05-11T20:32:53.513Z</t>
  </si>
  <si>
    <t>2021-03-14T19:51:56.741Z</t>
  </si>
  <si>
    <t>ravencoin</t>
  </si>
  <si>
    <t>rvn</t>
  </si>
  <si>
    <t>Ravencoin</t>
  </si>
  <si>
    <t>https://assets.coingecko.com/coins/images/3412/large/ravencoin.png?1548386057</t>
  </si>
  <si>
    <t>2021-02-20T11:19:07.791Z</t>
  </si>
  <si>
    <t>2020-03-13T02:30:00.004Z</t>
  </si>
  <si>
    <t>convex-crv</t>
  </si>
  <si>
    <t>cvxcrv</t>
  </si>
  <si>
    <t>Convex CRV</t>
  </si>
  <si>
    <t>https://assets.coingecko.com/coins/images/15586/large/convex-crv.png?1621255952</t>
  </si>
  <si>
    <t>2022-01-04T06:35:07.011Z</t>
  </si>
  <si>
    <t>icon</t>
  </si>
  <si>
    <t>icx</t>
  </si>
  <si>
    <t>ICON</t>
  </si>
  <si>
    <t>https://assets.coingecko.com/coins/images/1060/large/icon-icx-logo.png?1547035003</t>
  </si>
  <si>
    <t>2020-01-03T02:14:53.139Z</t>
  </si>
  <si>
    <t>everscale</t>
  </si>
  <si>
    <t>ever</t>
  </si>
  <si>
    <t>Everscale</t>
  </si>
  <si>
    <t>https://assets.coingecko.com/coins/images/12783/large/everscale_badge_main_round_1x.png?1640050196</t>
  </si>
  <si>
    <t>2020-10-13T21:23:14.299Z</t>
  </si>
  <si>
    <t>siacoin</t>
  </si>
  <si>
    <t>sc</t>
  </si>
  <si>
    <t>Siacoin</t>
  </si>
  <si>
    <t>https://assets.coingecko.com/coins/images/289/large/siacoin.png?1548386465</t>
  </si>
  <si>
    <t>2015-12-28T00:00:00.000Z</t>
  </si>
  <si>
    <t>rocket-pool</t>
  </si>
  <si>
    <t>rpl</t>
  </si>
  <si>
    <t>Rocket Pool</t>
  </si>
  <si>
    <t>https://assets.coingecko.com/coins/images/2090/large/rocket_pool_%28RPL%29.png?1637662441</t>
  </si>
  <si>
    <t>2021-11-09T04:03:31.003Z</t>
  </si>
  <si>
    <t>2018-08-28T00:00:00.000Z</t>
  </si>
  <si>
    <t>msol</t>
  </si>
  <si>
    <t>Marinade staked SOL</t>
  </si>
  <si>
    <t>https://assets.coingecko.com/coins/images/17752/large/mSOL.png?1644541955</t>
  </si>
  <si>
    <t>2021-08-23T22:16:35.076Z</t>
  </si>
  <si>
    <t>swissborg</t>
  </si>
  <si>
    <t>chsb</t>
  </si>
  <si>
    <t>SwissBorg</t>
  </si>
  <si>
    <t>https://assets.coingecko.com/coins/images/2117/large/YJUrRy7r_400x400.png?1589794215</t>
  </si>
  <si>
    <t>2021-05-04T17:14:50.120Z</t>
  </si>
  <si>
    <t>2018-11-28T00:00:00.000Z</t>
  </si>
  <si>
    <t>secret</t>
  </si>
  <si>
    <t>scrt</t>
  </si>
  <si>
    <t>Secret</t>
  </si>
  <si>
    <t>https://assets.coingecko.com/coins/images/11871/large/Secret.png?1595520186</t>
  </si>
  <si>
    <t>2021-10-28T12:44:49.785Z</t>
  </si>
  <si>
    <t>2020-11-03T11:28:47.769Z</t>
  </si>
  <si>
    <t>audius</t>
  </si>
  <si>
    <t>audio</t>
  </si>
  <si>
    <t>Audius</t>
  </si>
  <si>
    <t>https://assets.coingecko.com/coins/images/12913/large/AudiusCoinLogo_2x.png?1603425727</t>
  </si>
  <si>
    <t>2021-03-27T15:45:35.137Z</t>
  </si>
  <si>
    <t>2020-10-23T14:56:23.999Z</t>
  </si>
  <si>
    <t>titanswap</t>
  </si>
  <si>
    <t>titan</t>
  </si>
  <si>
    <t>TitanSwap</t>
  </si>
  <si>
    <t>https://assets.coingecko.com/coins/images/12606/large/nqGlQzdz_400x400.png?1601019805</t>
  </si>
  <si>
    <t>2021-07-09T22:16:07.079Z</t>
  </si>
  <si>
    <t>2020-10-06T15:48:36.784Z</t>
  </si>
  <si>
    <t>golem</t>
  </si>
  <si>
    <t>glm</t>
  </si>
  <si>
    <t>Golem</t>
  </si>
  <si>
    <t>https://assets.coingecko.com/coins/images/542/large/Golem_Submark_Positive_RGB.png?1606392013</t>
  </si>
  <si>
    <t>2018-04-13T09:13:22.739Z</t>
  </si>
  <si>
    <t>2016-12-12T00:00:00.000Z</t>
  </si>
  <si>
    <t>ethereum-name-service</t>
  </si>
  <si>
    <t>ens</t>
  </si>
  <si>
    <t>Ethereum Name Service</t>
  </si>
  <si>
    <t>https://assets.coingecko.com/coins/images/19785/large/acatxTm8_400x400.jpg?1635850140</t>
  </si>
  <si>
    <t>2021-11-11T02:20:01.099Z</t>
  </si>
  <si>
    <t>2022-05-12T07:19:20.050Z</t>
  </si>
  <si>
    <t>tenset</t>
  </si>
  <si>
    <t>10set</t>
  </si>
  <si>
    <t>Tenset</t>
  </si>
  <si>
    <t>https://assets.coingecko.com/coins/images/14629/large/10set.png?1617353812</t>
  </si>
  <si>
    <t>2021-05-30T05:40:19.103Z</t>
  </si>
  <si>
    <t>dogelon-mars</t>
  </si>
  <si>
    <t>elon</t>
  </si>
  <si>
    <t>Dogelon Mars</t>
  </si>
  <si>
    <t>https://assets.coingecko.com/coins/images/14962/large/6GxcPRo3_400x400.jpg?1619157413</t>
  </si>
  <si>
    <t>2021-10-30T20:39:32.727Z</t>
  </si>
  <si>
    <t>2021-04-23T06:09:26.872Z</t>
  </si>
  <si>
    <t>zencash</t>
  </si>
  <si>
    <t>zen</t>
  </si>
  <si>
    <t>Horizen</t>
  </si>
  <si>
    <t>https://assets.coingecko.com/coins/images/691/large/horizen.png?1555052241</t>
  </si>
  <si>
    <t>2021-05-08T06:00:30.087Z</t>
  </si>
  <si>
    <t>2017-07-31T00:00:00.000Z</t>
  </si>
  <si>
    <t>yearn-finance</t>
  </si>
  <si>
    <t>yfi</t>
  </si>
  <si>
    <t>yearn.finance</t>
  </si>
  <si>
    <t>https://assets.coingecko.com/coins/images/11849/large/yfi-192x192.png?1598325330</t>
  </si>
  <si>
    <t>2021-05-12T00:29:37.713Z</t>
  </si>
  <si>
    <t>2020-07-18T12:26:27.150Z</t>
  </si>
  <si>
    <t>baby-doge-coin</t>
  </si>
  <si>
    <t>babydoge</t>
  </si>
  <si>
    <t>Baby Doge Coin</t>
  </si>
  <si>
    <t>https://assets.coingecko.com/coins/images/16125/large/Baby_Doge.png?1623044048</t>
  </si>
  <si>
    <t>2022-01-16T20:24:43.758Z</t>
  </si>
  <si>
    <t>2021-06-09T02:48:21.787Z</t>
  </si>
  <si>
    <t>ontology</t>
  </si>
  <si>
    <t>ont</t>
  </si>
  <si>
    <t>Ontology</t>
  </si>
  <si>
    <t>https://assets.coingecko.com/coins/images/3447/large/ONT.png?1583481820</t>
  </si>
  <si>
    <t>2018-05-03T01:43:05.844Z</t>
  </si>
  <si>
    <t>2022-05-12T07:21:44.424Z</t>
  </si>
  <si>
    <t>escoin-token</t>
  </si>
  <si>
    <t>elg</t>
  </si>
  <si>
    <t>Escoin</t>
  </si>
  <si>
    <t>https://assets.coingecko.com/coins/images/13566/large/escoin-200.png?1609833886</t>
  </si>
  <si>
    <t>2022-05-15T00:24:31.048Z</t>
  </si>
  <si>
    <t>2021-01-10T16:54:16.852Z</t>
  </si>
  <si>
    <t>constellation-labs</t>
  </si>
  <si>
    <t>dag</t>
  </si>
  <si>
    <t>Constellation</t>
  </si>
  <si>
    <t>https://assets.coingecko.com/coins/images/4645/large/DAG.png?1626339160</t>
  </si>
  <si>
    <t>2021-08-25T23:30:00.311Z</t>
  </si>
  <si>
    <t>2019-03-09T00:00:00.000Z</t>
  </si>
  <si>
    <t>celsius-degree-token</t>
  </si>
  <si>
    <t>cel</t>
  </si>
  <si>
    <t>Celsius Network</t>
  </si>
  <si>
    <t>https://assets.coingecko.com/coins/images/3263/large/CEL_logo.png?1609598753</t>
  </si>
  <si>
    <t>2021-04-09T10:19:25.352Z</t>
  </si>
  <si>
    <t>swipe</t>
  </si>
  <si>
    <t>sxp</t>
  </si>
  <si>
    <t>SXP</t>
  </si>
  <si>
    <t>https://assets.coingecko.com/coins/images/9368/large/swipe.png?1566792311</t>
  </si>
  <si>
    <t>2021-05-03T15:29:39.372Z</t>
  </si>
  <si>
    <t>2020-03-16T22:38:47.902Z</t>
  </si>
  <si>
    <t>bitkub-coin</t>
  </si>
  <si>
    <t>kub</t>
  </si>
  <si>
    <t>Bitkub Coin</t>
  </si>
  <si>
    <t>https://assets.coingecko.com/coins/images/15760/large/KUB.png?1621825161</t>
  </si>
  <si>
    <t>2021-12-28T01:16:46.693Z</t>
  </si>
  <si>
    <t>2021-07-20T14:22:47.966Z</t>
  </si>
  <si>
    <t>tether-eurt</t>
  </si>
  <si>
    <t>eurt</t>
  </si>
  <si>
    <t>Euro Tether</t>
  </si>
  <si>
    <t>https://assets.coingecko.com/coins/images/17385/large/Tether_full_logo_dm.png?1627537298</t>
  </si>
  <si>
    <t>2021-09-02T00:28:44.121Z</t>
  </si>
  <si>
    <t>2021-12-04T05:29:46.350Z</t>
  </si>
  <si>
    <t>wax</t>
  </si>
  <si>
    <t>waxp</t>
  </si>
  <si>
    <t>WAX</t>
  </si>
  <si>
    <t>https://assets.coingecko.com/coins/images/1372/large/WAX_Coin_Tickers_P_512px.png?1602812260</t>
  </si>
  <si>
    <t>2019-12-30T16:39:58.981Z</t>
  </si>
  <si>
    <t>ethos</t>
  </si>
  <si>
    <t>vgx</t>
  </si>
  <si>
    <t>https://assets.coingecko.com/coins/images/794/large/Voyager-vgx.png?1575693595</t>
  </si>
  <si>
    <t>2019-12-26T22:10:32.136Z</t>
  </si>
  <si>
    <t>oasis-network</t>
  </si>
  <si>
    <t>rose</t>
  </si>
  <si>
    <t>Oasis Network</t>
  </si>
  <si>
    <t>https://assets.coingecko.com/coins/images/13162/large/rose.png?1605772906</t>
  </si>
  <si>
    <t>2022-01-15T03:31:11.062Z</t>
  </si>
  <si>
    <t>2020-11-26T17:09:12.182Z</t>
  </si>
  <si>
    <t>apenft</t>
  </si>
  <si>
    <t>nft</t>
  </si>
  <si>
    <t>APENFT</t>
  </si>
  <si>
    <t>https://assets.coingecko.com/coins/images/15687/large/apenft.jpg?1621562368</t>
  </si>
  <si>
    <t>2021-09-05T00:10:47.823Z</t>
  </si>
  <si>
    <t>immutable-x</t>
  </si>
  <si>
    <t>imx</t>
  </si>
  <si>
    <t>Immutable X</t>
  </si>
  <si>
    <t>https://assets.coingecko.com/coins/images/17233/large/imx.png?1636691817</t>
  </si>
  <si>
    <t>2021-11-26T01:03:01.536Z</t>
  </si>
  <si>
    <t>skale</t>
  </si>
  <si>
    <t>skl</t>
  </si>
  <si>
    <t>SKALE</t>
  </si>
  <si>
    <t>https://assets.coingecko.com/coins/images/13245/large/SKALE_token_300x300.png?1606789574</t>
  </si>
  <si>
    <t>2021-03-12T05:14:18.439Z</t>
  </si>
  <si>
    <t>uma</t>
  </si>
  <si>
    <t>UMA</t>
  </si>
  <si>
    <t>https://assets.coingecko.com/coins/images/10951/large/UMA.png?1586307916</t>
  </si>
  <si>
    <t>2021-02-04T11:27:11.433Z</t>
  </si>
  <si>
    <t>2020-04-29T17:00:41.760Z</t>
  </si>
  <si>
    <t>trust-wallet-token</t>
  </si>
  <si>
    <t>twt</t>
  </si>
  <si>
    <t>Trust Wallet</t>
  </si>
  <si>
    <t>https://assets.coingecko.com/coins/images/11085/large/Trust.png?1588062702</t>
  </si>
  <si>
    <t>2021-09-05T04:29:59.672Z</t>
  </si>
  <si>
    <t>2020-06-09T09:15:06.983Z</t>
  </si>
  <si>
    <t>plex</t>
  </si>
  <si>
    <t>PLEX</t>
  </si>
  <si>
    <t>https://assets.coingecko.com/coins/images/13383/large/plex.png?1608082719</t>
  </si>
  <si>
    <t>2021-11-01T07:20:38.415Z</t>
  </si>
  <si>
    <t>2021-01-05T02:00:16.826Z</t>
  </si>
  <si>
    <t>smooth-love-potion</t>
  </si>
  <si>
    <t>slp</t>
  </si>
  <si>
    <t>Smooth Love Potion</t>
  </si>
  <si>
    <t>https://assets.coingecko.com/coins/images/10366/large/SLP.png?1578640057</t>
  </si>
  <si>
    <t>2021-07-13T10:04:32.975Z</t>
  </si>
  <si>
    <t>2020-06-20T10:23:48.171Z</t>
  </si>
  <si>
    <t>polymath</t>
  </si>
  <si>
    <t>poly</t>
  </si>
  <si>
    <t>Polymath</t>
  </si>
  <si>
    <t>https://assets.coingecko.com/coins/images/2784/large/inKkF01.png?1605007034</t>
  </si>
  <si>
    <t>2018-02-20T00:00:00.000Z</t>
  </si>
  <si>
    <t>2020-03-13T02:22:30.088Z</t>
  </si>
  <si>
    <t>astar</t>
  </si>
  <si>
    <t>astr</t>
  </si>
  <si>
    <t>Astar</t>
  </si>
  <si>
    <t>https://assets.coingecko.com/coins/images/22617/large/astr.png?1642314057</t>
  </si>
  <si>
    <t>2022-01-17T13:34:36.289Z</t>
  </si>
  <si>
    <t>renbtc</t>
  </si>
  <si>
    <t>renBTC</t>
  </si>
  <si>
    <t>https://assets.coingecko.com/coins/images/11370/large/Bitcoin.jpg?1628072791</t>
  </si>
  <si>
    <t>2021-11-10T14:26:20.068Z</t>
  </si>
  <si>
    <t>2020-07-20T20:01:18.777Z</t>
  </si>
  <si>
    <t>nucypher</t>
  </si>
  <si>
    <t>nu</t>
  </si>
  <si>
    <t>NuCypher</t>
  </si>
  <si>
    <t>https://assets.coingecko.com/coins/images/3318/large/photo1198982838879365035.jpg?1547037916</t>
  </si>
  <si>
    <t>2021-10-15T08:50:14.799Z</t>
  </si>
  <si>
    <t>2020-11-27T03:03:31.701Z</t>
  </si>
  <si>
    <t>kyber-network-crystal</t>
  </si>
  <si>
    <t>knc</t>
  </si>
  <si>
    <t>Kyber Network Crystal</t>
  </si>
  <si>
    <t>https://assets.coingecko.com/coins/images/14899/large/RwdVsGcw_400x400.jpg?1618923851</t>
  </si>
  <si>
    <t>2022-04-29T00:29:36.976Z</t>
  </si>
  <si>
    <t>2021-06-22T14:01:23.365Z</t>
  </si>
  <si>
    <t>mxc</t>
  </si>
  <si>
    <t>MXC</t>
  </si>
  <si>
    <t>https://assets.coingecko.com/coins/images/4604/large/MXC-app-icon10242x.png?1597628240</t>
  </si>
  <si>
    <t>2022-01-19T12:50:35.384Z</t>
  </si>
  <si>
    <t>2019-11-25T05:42:37.653Z</t>
  </si>
  <si>
    <t>playdapp</t>
  </si>
  <si>
    <t>pla</t>
  </si>
  <si>
    <t>PlayDapp</t>
  </si>
  <si>
    <t>https://assets.coingecko.com/coins/images/14316/large/54023228.png?1615366911</t>
  </si>
  <si>
    <t>2021-10-31T01:43:56.805Z</t>
  </si>
  <si>
    <t>2021-06-22T13:53:57.916Z</t>
  </si>
  <si>
    <t>Total fees paid</t>
  </si>
  <si>
    <t>Asset Rank</t>
  </si>
  <si>
    <t>ATH</t>
  </si>
  <si>
    <t>24h price change %</t>
  </si>
  <si>
    <t>ATH price change %</t>
  </si>
  <si>
    <t>1h price change %</t>
  </si>
  <si>
    <t>Market cap/Billion</t>
  </si>
  <si>
    <t>Circulating supply/Million</t>
  </si>
  <si>
    <t>Total portfolio value</t>
  </si>
  <si>
    <t>dao-maker</t>
  </si>
  <si>
    <t>dao</t>
  </si>
  <si>
    <t>DAO Maker</t>
  </si>
  <si>
    <t>https://assets.coingecko.com/coins/images/13915/large/4.png?1612838831</t>
  </si>
  <si>
    <t>2021-04-21T17:13:06.858Z</t>
  </si>
  <si>
    <t>2021-07-22T11:15:31.791Z</t>
  </si>
  <si>
    <t>eur</t>
  </si>
  <si>
    <t>Total supply/Million</t>
  </si>
  <si>
    <t>30d price change %</t>
  </si>
  <si>
    <t>1y price change %</t>
  </si>
  <si>
    <t>Asset dominance %</t>
  </si>
  <si>
    <t>Current Balance</t>
  </si>
  <si>
    <t>Current Price/Coin</t>
  </si>
  <si>
    <t>Investment</t>
  </si>
  <si>
    <t>Profit</t>
  </si>
  <si>
    <t>coinmetro</t>
  </si>
  <si>
    <t>xcm</t>
  </si>
  <si>
    <t>Coinmetro</t>
  </si>
  <si>
    <t>https://assets.coingecko.com/coins/images/3125/large/XCM_Token_Logo_.png?1646280053</t>
  </si>
  <si>
    <t>2022-02-16T09:33:07.233Z</t>
  </si>
  <si>
    <t>2019-05-04T00:00:00.000Z</t>
  </si>
  <si>
    <t>Total:</t>
  </si>
  <si>
    <t>CLICK IN THIS AREA</t>
  </si>
  <si>
    <t>1.)</t>
  </si>
  <si>
    <t>2.)</t>
  </si>
  <si>
    <t>3.)</t>
  </si>
  <si>
    <t>4.)</t>
  </si>
  <si>
    <t>5.)</t>
  </si>
  <si>
    <t>6.)</t>
  </si>
  <si>
    <t>7.)</t>
  </si>
  <si>
    <t>8.)</t>
  </si>
  <si>
    <t>9.)</t>
  </si>
  <si>
    <t>KuCoin</t>
  </si>
  <si>
    <t>Huobi</t>
  </si>
  <si>
    <t>https://assets.coingecko.com/coins/images/17627/large/rI_YptK8.png?1653983088</t>
  </si>
  <si>
    <t>https://assets.coingecko.com/coins/images/24023/large/evmos.png?1653958927</t>
  </si>
  <si>
    <t>Basic Attention</t>
  </si>
  <si>
    <t>2020-08-14T00:00:00.000Z</t>
  </si>
  <si>
    <t>Bancor Network</t>
  </si>
  <si>
    <t>Voyager VGX</t>
  </si>
  <si>
    <t>ROI</t>
  </si>
  <si>
    <t>Current balance</t>
  </si>
  <si>
    <t>Fees</t>
  </si>
  <si>
    <t>Days since first trade:</t>
  </si>
  <si>
    <t>Total no. trades:</t>
  </si>
  <si>
    <t>lisk</t>
  </si>
  <si>
    <t>lsk</t>
  </si>
  <si>
    <t>Lisk</t>
  </si>
  <si>
    <t>https://assets.coingecko.com/coins/images/385/large/Lisk_Symbol_-_Blue.png?1573444104</t>
  </si>
  <si>
    <t>2017-03-01T00:00:00.000Z</t>
  </si>
  <si>
    <t>2022-06-01T20:19:42.412Z</t>
  </si>
  <si>
    <t>alchemix-usd</t>
  </si>
  <si>
    <t>alusd</t>
  </si>
  <si>
    <t>Alchemix USD</t>
  </si>
  <si>
    <t>https://assets.coingecko.com/coins/images/14114/large/Alchemix_USD.png?1614410406</t>
  </si>
  <si>
    <t>2021-03-21T19:53:32.860Z</t>
  </si>
  <si>
    <t>2021-03-19T22:40:28.697Z</t>
  </si>
  <si>
    <t>Current price</t>
  </si>
  <si>
    <t>FTX</t>
  </si>
  <si>
    <t>Gate</t>
  </si>
  <si>
    <t>Synthetix Network</t>
  </si>
  <si>
    <t>3DT4KrWJ2g2LweMgk62gzxmLWxjEP6xsdT</t>
  </si>
  <si>
    <t>0xcD21900B1409E68f5334adECc5f3b4868686Fcf9</t>
  </si>
  <si>
    <t>Just COPY the cell --&gt;</t>
  </si>
  <si>
    <t>INFO</t>
  </si>
  <si>
    <t>ID</t>
  </si>
  <si>
    <t>digibyte</t>
  </si>
  <si>
    <t>dgb</t>
  </si>
  <si>
    <t>DigiByte</t>
  </si>
  <si>
    <t>https://assets.coingecko.com/coins/images/63/large/digibyte.png?1547033717</t>
  </si>
  <si>
    <t>2021-05-01T00:19:01.967Z</t>
  </si>
  <si>
    <t>No. of traded coins:</t>
  </si>
  <si>
    <t>Market cap.</t>
  </si>
  <si>
    <t>casper-network</t>
  </si>
  <si>
    <t>cspr</t>
  </si>
  <si>
    <t>Casper Network</t>
  </si>
  <si>
    <t>https://assets.coingecko.com/coins/images/15279/large/casper.PNG?1620341020</t>
  </si>
  <si>
    <t>2021-05-12T00:00:00.000Z</t>
  </si>
  <si>
    <t>Total</t>
  </si>
  <si>
    <t>2022-06-08T23:09:36.451Z</t>
  </si>
  <si>
    <t>flex-usd</t>
  </si>
  <si>
    <t>flexusd</t>
  </si>
  <si>
    <t>flexUSD</t>
  </si>
  <si>
    <t>https://assets.coingecko.com/coins/images/13323/large/flexUSD_2x.png?1607480702</t>
  </si>
  <si>
    <t>2022-05-12T12:43:54.776Z</t>
  </si>
  <si>
    <t>2022-01-22T15:06:24.333Z</t>
  </si>
  <si>
    <t>pocket-network</t>
  </si>
  <si>
    <t>pokt</t>
  </si>
  <si>
    <t>Pocket Network</t>
  </si>
  <si>
    <t>https://assets.coingecko.com/coins/images/22506/large/33689860.png?1641957673</t>
  </si>
  <si>
    <t>2022-01-16T07:15:26.325Z</t>
  </si>
  <si>
    <t>2022-06-03T23:50:09.890Z</t>
  </si>
  <si>
    <t>User Name</t>
  </si>
  <si>
    <t>admin</t>
  </si>
  <si>
    <t>Password</t>
  </si>
  <si>
    <t>2022-06-14T06:35:07.084Z</t>
  </si>
  <si>
    <t>2022-06-14T01:59:20.936Z</t>
  </si>
  <si>
    <t>2022-06-13T11:25:24.636Z</t>
  </si>
  <si>
    <t>2022-06-14T02:52:00.113Z</t>
  </si>
  <si>
    <t>2022-06-13T10:08:39.859Z</t>
  </si>
  <si>
    <t>2022-06-13T09:10:08.732Z</t>
  </si>
  <si>
    <t>2022-06-13T14:56:42.602Z</t>
  </si>
  <si>
    <t>2022-06-13T09:11:46.606Z</t>
  </si>
  <si>
    <t>2022-06-13T09:12:06.157Z</t>
  </si>
  <si>
    <t>2022-06-14T02:42:27.638Z</t>
  </si>
  <si>
    <t>woo-network</t>
  </si>
  <si>
    <t>woo</t>
  </si>
  <si>
    <t>WOO Network</t>
  </si>
  <si>
    <t>https://assets.coingecko.com/coins/images/12921/large/w2UiemF__400x400.jpg?1603670367</t>
  </si>
  <si>
    <t>2021-11-15T13:44:18.437Z</t>
  </si>
  <si>
    <t>2021-01-04T10:19:13.803Z</t>
  </si>
  <si>
    <t>2022-06-13T11:49:04.940Z</t>
  </si>
  <si>
    <t>terra-luna-2</t>
  </si>
  <si>
    <t>luna</t>
  </si>
  <si>
    <t>Terra</t>
  </si>
  <si>
    <t>https://assets.coingecko.com/coins/images/25767/large/01_Luna_color.png?1653556122</t>
  </si>
  <si>
    <t>2022-05-28T09:18:14.847Z</t>
  </si>
  <si>
    <t>2022-06-08T23:54:27.648Z</t>
  </si>
  <si>
    <t>2022-06-15T09:50:12.479Z</t>
  </si>
  <si>
    <t>2022-06-15T09:25:14.087Z</t>
  </si>
  <si>
    <t>2022-06-15T09:20:22.479Z</t>
  </si>
  <si>
    <t>2022-06-15T10:00:15.557Z</t>
  </si>
  <si>
    <t>2022-06-15T07:40:19.589Z</t>
  </si>
  <si>
    <t>2022-06-15T09:35:50.765Z</t>
  </si>
  <si>
    <t>2022-06-15T18:10:30.938Z</t>
  </si>
  <si>
    <t>2022-06-15T09:18:39.329Z</t>
  </si>
  <si>
    <t>2022-06-15T09:14:42.573Z</t>
  </si>
  <si>
    <t>2022-06-15T18:45:58.038Z</t>
  </si>
  <si>
    <t>2022-06-15T10:14:52.758Z</t>
  </si>
  <si>
    <t>2022-06-15T09:30:58.437Z</t>
  </si>
  <si>
    <t>2022-06-15T08:08:07.648Z</t>
  </si>
  <si>
    <t>2022-06-15T09:29:59.152Z</t>
  </si>
  <si>
    <t>2022-06-15T18:30:21.800Z</t>
  </si>
  <si>
    <t>2022-06-15T10:04:57.419Z</t>
  </si>
  <si>
    <t>2022-06-15T08:15:19.940Z</t>
  </si>
  <si>
    <t>2022-06-15T10:01:27.585Z</t>
  </si>
  <si>
    <t>balancer</t>
  </si>
  <si>
    <t>bal</t>
  </si>
  <si>
    <t>Balancer</t>
  </si>
  <si>
    <t>https://assets.coingecko.com/coins/images/11683/large/Balancer.png?1592792958</t>
  </si>
  <si>
    <t>2021-05-04T13:35:02.939Z</t>
  </si>
  <si>
    <t>2022-06-15T09:39:41.794Z</t>
  </si>
  <si>
    <t>2022-06-15T09:18:36.764Z</t>
  </si>
  <si>
    <t>hive</t>
  </si>
  <si>
    <t>Hive</t>
  </si>
  <si>
    <t>https://assets.coingecko.com/coins/images/10840/large/logo_transparent_4x.png?1584623184</t>
  </si>
  <si>
    <t>2021-11-26T01:46:11.175Z</t>
  </si>
  <si>
    <t>2020-04-06T07:35:48.099Z</t>
  </si>
  <si>
    <t>15/1/2022 23:26</t>
  </si>
  <si>
    <t>16/1/2022 15:15</t>
  </si>
  <si>
    <t>16/1/2022 15:14</t>
  </si>
  <si>
    <t>17/1/2022 15:15</t>
  </si>
  <si>
    <t>17/1/2022 15:16</t>
  </si>
  <si>
    <t>mx-token</t>
  </si>
  <si>
    <t>mx</t>
  </si>
  <si>
    <t>MX</t>
  </si>
  <si>
    <t>https://assets.coingecko.com/coins/images/8545/large/TII1YIdv_400x400.png?1559180170</t>
  </si>
  <si>
    <t>2021-12-02T00:59:40.216Z</t>
  </si>
  <si>
    <t>2019-11-25T06:05:00.963Z</t>
  </si>
  <si>
    <t>2022-06-15T22:11:56.544Z</t>
  </si>
  <si>
    <t>2022-06-15T22:37:06.426Z</t>
  </si>
  <si>
    <t>2022-06-15T22:37:07.313Z</t>
  </si>
  <si>
    <t>2022-06-15T22:36:03.864Z</t>
  </si>
  <si>
    <t>2022-06-15T22:36:35.519Z</t>
  </si>
  <si>
    <t>2022-06-15T22:37:20.097Z</t>
  </si>
  <si>
    <t>2022-06-15T22:36:31.750Z</t>
  </si>
  <si>
    <t>2022-06-15T22:36:57.233Z</t>
  </si>
  <si>
    <t>2022-06-15T22:37:03.937Z</t>
  </si>
  <si>
    <t>2022-06-15T22:36:30.887Z</t>
  </si>
  <si>
    <t>2022-06-15T22:37:15.337Z</t>
  </si>
  <si>
    <t>2022-06-15T22:36:24.894Z</t>
  </si>
  <si>
    <t>2022-06-15T22:35:57.788Z</t>
  </si>
  <si>
    <t>2022-06-15T22:36:31.387Z</t>
  </si>
  <si>
    <t>2022-06-15T22:37:20.834Z</t>
  </si>
  <si>
    <t>2022-06-15T22:37:11.881Z</t>
  </si>
  <si>
    <t>2022-06-15T22:37:14.165Z</t>
  </si>
  <si>
    <t>2022-06-15T22:37:04.269Z</t>
  </si>
  <si>
    <t>2022-06-15T22:37:23.009Z</t>
  </si>
  <si>
    <t>2022-06-15T22:37:01.364Z</t>
  </si>
  <si>
    <t>2022-06-15T22:36:47.475Z</t>
  </si>
  <si>
    <t>2022-06-15T22:36:28.560Z</t>
  </si>
  <si>
    <t>2022-06-15T22:37:15.393Z</t>
  </si>
  <si>
    <t>2022-06-15T22:36:29.652Z</t>
  </si>
  <si>
    <t>2022-06-15T22:37:26.436Z</t>
  </si>
  <si>
    <t>2022-06-15T22:36:51.240Z</t>
  </si>
  <si>
    <t>2022-06-15T22:37:13.633Z</t>
  </si>
  <si>
    <t>2022-06-15T22:37:22.358Z</t>
  </si>
  <si>
    <t>2022-06-15T22:37:17.028Z</t>
  </si>
  <si>
    <t>2022-06-15T22:37:06.088Z</t>
  </si>
  <si>
    <t>2022-06-15T22:37:06.675Z</t>
  </si>
  <si>
    <t>2022-06-15T22:36:25.361Z</t>
  </si>
  <si>
    <t>2022-06-15T22:36:34.685Z</t>
  </si>
  <si>
    <t>2022-06-15T22:37:03.138Z</t>
  </si>
  <si>
    <t>2022-06-15T22:36:38.662Z</t>
  </si>
  <si>
    <t>2022-06-15T22:36:46.245Z</t>
  </si>
  <si>
    <t>2022-06-15T22:36:56.819Z</t>
  </si>
  <si>
    <t>2022-06-15T22:37:04.939Z</t>
  </si>
  <si>
    <t>2022-06-15T22:36:54.745Z</t>
  </si>
  <si>
    <t>2022-06-15T22:37:09.634Z</t>
  </si>
  <si>
    <t>2022-06-15T22:37:14.478Z</t>
  </si>
  <si>
    <t>2022-06-15T22:36:59.248Z</t>
  </si>
  <si>
    <t>2022-06-15T22:37:27.108Z</t>
  </si>
  <si>
    <t>2022-06-15T22:37:03.564Z</t>
  </si>
  <si>
    <t>2022-06-15T22:36:55.262Z</t>
  </si>
  <si>
    <t>2022-06-15T22:37:02.127Z</t>
  </si>
  <si>
    <t>2022-06-15T22:36:56.704Z</t>
  </si>
  <si>
    <t>2022-06-15T22:37:02.683Z</t>
  </si>
  <si>
    <t>2022-06-15T22:36:52.029Z</t>
  </si>
  <si>
    <t>2022-06-15T22:37:26.316Z</t>
  </si>
  <si>
    <t>2022-06-15T22:37:04.537Z</t>
  </si>
  <si>
    <t>2022-06-15T22:37:01.053Z</t>
  </si>
  <si>
    <t>2022-06-15T22:36:34.328Z</t>
  </si>
  <si>
    <t>2022-06-15T22:36:43.360Z</t>
  </si>
  <si>
    <t>2022-06-15T22:36:53.188Z</t>
  </si>
  <si>
    <t>2022-06-15T22:37:01.955Z</t>
  </si>
  <si>
    <t>2022-06-15T22:36:38.384Z</t>
  </si>
  <si>
    <t>2022-06-15T22:37:06.718Z</t>
  </si>
  <si>
    <t>2022-06-15T22:37:07.527Z</t>
  </si>
  <si>
    <t>2022-06-15T22:36:57.853Z</t>
  </si>
  <si>
    <t>2022-06-15T22:36:56.518Z</t>
  </si>
  <si>
    <t>2022-06-15T22:37:24.146Z</t>
  </si>
  <si>
    <t>2022-06-15T22:37:05.420Z</t>
  </si>
  <si>
    <t>2022-06-15T22:37:04.233Z</t>
  </si>
  <si>
    <t>2022-06-15T22:37:05.585Z</t>
  </si>
  <si>
    <t>2022-06-15T22:37:12.207Z</t>
  </si>
  <si>
    <t>2022-06-15T22:36:43.584Z</t>
  </si>
  <si>
    <t>2022-06-15T22:36:58.236Z</t>
  </si>
  <si>
    <t>2022-06-15T22:37:18.981Z</t>
  </si>
  <si>
    <t>2022-06-15T22:36:47.839Z</t>
  </si>
  <si>
    <t>2022-06-15T22:37:02.455Z</t>
  </si>
  <si>
    <t>2022-06-15T22:37:22.878Z</t>
  </si>
  <si>
    <t>2022-06-15T22:37:12.014Z</t>
  </si>
  <si>
    <t>2022-06-15T22:37:21.821Z</t>
  </si>
  <si>
    <t>2022-06-15T22:37:02.783Z</t>
  </si>
  <si>
    <t>2022-06-15T22:36:34.458Z</t>
  </si>
  <si>
    <t>2022-06-15T22:37:03.618Z</t>
  </si>
  <si>
    <t>2022-06-15T22:36:46.359Z</t>
  </si>
  <si>
    <t>2022-06-15T22:37:02.254Z</t>
  </si>
  <si>
    <t>2022-06-15T22:36:52.431Z</t>
  </si>
  <si>
    <t>2022-06-15T22:37:04.549Z</t>
  </si>
  <si>
    <t>2022-06-15T22:36:57.010Z</t>
  </si>
  <si>
    <t>2022-06-15T22:37:09.099Z</t>
  </si>
  <si>
    <t>2022-06-15T22:37:21.701Z</t>
  </si>
  <si>
    <t>2022-06-15T22:36:29.063Z</t>
  </si>
  <si>
    <t>2022-06-15T22:37:12.708Z</t>
  </si>
  <si>
    <t>2022-06-15T22:37:01.318Z</t>
  </si>
  <si>
    <t>2022-06-15T22:37:10.244Z</t>
  </si>
  <si>
    <t>2022-06-15T22:36:17.675Z</t>
  </si>
  <si>
    <t>2022-06-15T22:37:02.919Z</t>
  </si>
  <si>
    <t>2022-06-15T22:36:49.318Z</t>
  </si>
  <si>
    <t>2022-06-15T22:36:53.735Z</t>
  </si>
  <si>
    <t>2022-06-15T22:37:04.285Z</t>
  </si>
  <si>
    <t>2022-06-15T22:37:20.479Z</t>
  </si>
  <si>
    <t>2022-06-15T22:36:42.188Z</t>
  </si>
  <si>
    <t>2022-06-15T22:36:58.620Z</t>
  </si>
  <si>
    <t>2022-06-15T22:36:55.100Z</t>
  </si>
  <si>
    <t>2022-06-15T22:37:06.458Z</t>
  </si>
  <si>
    <t>2022-06-15T22:37:07.662Z</t>
  </si>
  <si>
    <t>2022-06-15T22:37:05.004Z</t>
  </si>
  <si>
    <t>2022-06-15T22:36:56.038Z</t>
  </si>
  <si>
    <t>2022-06-15T22:37:06.969Z</t>
  </si>
  <si>
    <t>2022-06-15T22:37:12.526Z</t>
  </si>
  <si>
    <t>2022-06-15T22:36:59.506Z</t>
  </si>
  <si>
    <t>2022-06-15T22:36:58.824Z</t>
  </si>
  <si>
    <t>2022-06-15T22:36:43.116Z</t>
  </si>
  <si>
    <t>2022-06-15T22:37:03.366Z</t>
  </si>
  <si>
    <t>2022-06-15T22:36:40.665Z</t>
  </si>
  <si>
    <t>2022-06-15T22:37:04.143Z</t>
  </si>
  <si>
    <t>2022-06-15T22:36:46.348Z</t>
  </si>
  <si>
    <t>2022-06-15T22:37:02.846Z</t>
  </si>
  <si>
    <t>2022-06-15T22:36:12.207Z</t>
  </si>
  <si>
    <t>2022-06-15T22:36:34.756Z</t>
  </si>
  <si>
    <t>2022-06-15T22:37:08.367Z</t>
  </si>
  <si>
    <t>2022-06-15T22:37:25.952Z</t>
  </si>
  <si>
    <t>2022-06-15T22:36:57.944Z</t>
  </si>
  <si>
    <t>2022-06-15T22:37:09.169Z</t>
  </si>
  <si>
    <t>2022-06-15T22:32:57.484Z</t>
  </si>
  <si>
    <t>2022-06-15T22:36:21.649Z</t>
  </si>
  <si>
    <t>2022-06-15T22:37:22.690Z</t>
  </si>
  <si>
    <t>2022-06-15T22:37:20.004Z</t>
  </si>
  <si>
    <t>2022-06-15T22:36:53.511Z</t>
  </si>
  <si>
    <t>2022-06-15T22:37:00.103Z</t>
  </si>
  <si>
    <t>2022-06-15T22:37:01.163Z</t>
  </si>
  <si>
    <t>2022-06-15T22:36:57.957Z</t>
  </si>
  <si>
    <t>2022-06-15T22:37:00.325Z</t>
  </si>
  <si>
    <t>2022-06-15T22:36:58.239Z</t>
  </si>
  <si>
    <t>2022-06-15T22:37:27.171Z</t>
  </si>
  <si>
    <t>2022-06-15T22:34:56.986Z</t>
  </si>
  <si>
    <t>2022-06-15T22:36:50.630Z</t>
  </si>
  <si>
    <t>2022-06-15T22:37:04.380Z</t>
  </si>
  <si>
    <t>2022-06-15T22:36:43.446Z</t>
  </si>
  <si>
    <t>2022-06-15T22:36:51.257Z</t>
  </si>
  <si>
    <t>2022-06-15T22:37:03.668Z</t>
  </si>
  <si>
    <t>2022-06-15T22:37:21.775Z</t>
  </si>
  <si>
    <t>2022-06-15T22:36:46.337Z</t>
  </si>
  <si>
    <t>2022-06-15T22:35:59.698Z</t>
  </si>
  <si>
    <t>2022-06-15T22:36:23.273Z</t>
  </si>
  <si>
    <t>2022-06-15T22:36:55.809Z</t>
  </si>
  <si>
    <t>2022-06-15T22:36:44.140Z</t>
  </si>
  <si>
    <t>2022-06-15T22:37:06.593Z</t>
  </si>
  <si>
    <t>2022-06-15T22:36:49.361Z</t>
  </si>
  <si>
    <t>2022-06-15T22:37:10.491Z</t>
  </si>
  <si>
    <t>2022-06-15T22:37:12.108Z</t>
  </si>
  <si>
    <t>2022-06-15T22:36:59.945Z</t>
  </si>
  <si>
    <t>2022-06-15T22:37:22.076Z</t>
  </si>
  <si>
    <t>2022-06-15T22:36:44.553Z</t>
  </si>
  <si>
    <t>2022-06-15T22:36:42.399Z</t>
  </si>
  <si>
    <t>2022-06-15T22:36:55.723Z</t>
  </si>
  <si>
    <t>2022-06-15T22:36:48.580Z</t>
  </si>
  <si>
    <t>2022-06-15T22:37:02.614Z</t>
  </si>
  <si>
    <t>2022-06-15T22:37:09.536Z</t>
  </si>
  <si>
    <t>2022-06-15T22:36:42.929Z</t>
  </si>
  <si>
    <t>2022-06-15T22:36:36.872Z</t>
  </si>
  <si>
    <t>2022-06-15T22:36:55.422Z</t>
  </si>
  <si>
    <t>2022-06-15T22:36:43.502Z</t>
  </si>
  <si>
    <t>2022-06-15T22:36:54.117Z</t>
  </si>
  <si>
    <t>2022-06-15T22:36:24.529Z</t>
  </si>
  <si>
    <t>2022-06-15T22:37:08.503Z</t>
  </si>
  <si>
    <t>2022-06-15T22:37:04.371Z</t>
  </si>
  <si>
    <t>2022-06-15T22:37:05.532Z</t>
  </si>
  <si>
    <t>2022-06-15T22:36:26.009Z</t>
  </si>
  <si>
    <t>2022-06-15T22:37:16.731Z</t>
  </si>
  <si>
    <t>2022-06-15T22:36:42.889Z</t>
  </si>
  <si>
    <t>2022-06-15T22:36:45.563Z</t>
  </si>
  <si>
    <t>2022-06-15T22:37:04.965Z</t>
  </si>
  <si>
    <t>2022-06-15T22:37:04.406Z</t>
  </si>
  <si>
    <t>2022-06-15T22:36:53.984Z</t>
  </si>
  <si>
    <t>2022-06-15T22:36:45.830Z</t>
  </si>
  <si>
    <t>2022-06-15T22:37:06.046Z</t>
  </si>
  <si>
    <t>2022-06-15T22:37:22.018Z</t>
  </si>
  <si>
    <t>2022-06-15T22:36:44.054Z</t>
  </si>
  <si>
    <t>2022-06-15T22:37:02.328Z</t>
  </si>
  <si>
    <t>2022-06-15T22:36:30.957Z</t>
  </si>
  <si>
    <t>2022-06-15T22:36:45.291Z</t>
  </si>
  <si>
    <t>2022-06-15T22:36:48.680Z</t>
  </si>
  <si>
    <t>2022-06-15T22:36:47.732Z</t>
  </si>
  <si>
    <t>2022-06-15T22:37:02.976Z</t>
  </si>
  <si>
    <t>2022-06-15T22:37:17.699Z</t>
  </si>
  <si>
    <t>2022-06-15T22:36:59.977Z</t>
  </si>
  <si>
    <t>2022-06-15T22:36:57.358Z</t>
  </si>
  <si>
    <t>2022-06-15T22:36:59.565Z</t>
  </si>
  <si>
    <t>2022-06-15T22:37:21.981Z</t>
  </si>
  <si>
    <t>2022-06-15T22:36:55.101Z</t>
  </si>
  <si>
    <t>2022-06-15T22:36:49.233Z</t>
  </si>
  <si>
    <t>2022-06-15T22:37:16.988Z</t>
  </si>
  <si>
    <t>2022-06-15T22:37:18.562Z</t>
  </si>
  <si>
    <t>2022-06-15T22:37:19.189Z</t>
  </si>
  <si>
    <t>2022-06-15T22:37:19.927Z</t>
  </si>
  <si>
    <t>2022-06-15T22:36:41.336Z</t>
  </si>
  <si>
    <t>2022-06-15T22:36:55.709Z</t>
  </si>
  <si>
    <t>2022-06-15T22:36:55.425Z</t>
  </si>
  <si>
    <t>2022-06-15T22:36:50.750Z</t>
  </si>
  <si>
    <t>2022-06-15T22:37:22.764Z</t>
  </si>
  <si>
    <t>2022-06-15T22:37:23.332Z</t>
  </si>
  <si>
    <t>2022-06-15T22:36:49.093Z</t>
  </si>
  <si>
    <t>2022-06-15T22:37:01.944Z</t>
  </si>
  <si>
    <t>2022-06-15T22:37:05.822Z</t>
  </si>
  <si>
    <t>2022-06-15T22:36:56.427Z</t>
  </si>
  <si>
    <t>2022-06-15T22:37:03.279Z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</si>
</sst>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7" formatCode="#,##0.00\ &quot;€&quot;;\-#,##0.00\ &quot;€&quot;"/>
    <numFmt numFmtId="44" formatCode="_-* #,##0.00\ &quot;€&quot;_-;\-* #,##0.00\ &quot;€&quot;_-;_-* &quot;-&quot;??\ &quot;€&quot;_-;_-@_-"/>
    <numFmt numFmtId="43" formatCode="_-* #,##0.00_-;\-* #,##0.00_-;_-* &quot;-&quot;??_-;_-@_-"/>
    <numFmt numFmtId="164" formatCode="yyyy\-mm\-dd;@"/>
    <numFmt numFmtId="165" formatCode="_-* #,##0.000000_-;\-* #,##0.000000_-;_-* &quot;-&quot;??_-;_-@_-"/>
    <numFmt numFmtId="166" formatCode="_-* #,##0.0000\ &quot;€&quot;_-;\-* #,##0.0000\ &quot;€&quot;_-;_-* &quot;-&quot;??\ &quot;€&quot;_-;_-@_-"/>
    <numFmt numFmtId="167" formatCode="0.0000"/>
    <numFmt numFmtId="168" formatCode="_-* #,##0.0000_-;\-* #,##0.0000_-;_-* &quot;-&quot;??_-;_-@_-"/>
    <numFmt numFmtId="169" formatCode="0.000000"/>
    <numFmt numFmtId="170" formatCode="0.000"/>
  </numFmts>
  <fonts count="38" x14ac:knownFonts="1">
    <font>
      <sz val="11"/>
      <color theme="1"/>
      <name val="Calibri"/>
      <family val="2"/>
      <charset val="238"/>
      <scheme val="minor"/>
    </font>
    <font>
      <sz val="11"/>
      <color theme="1"/>
      <name val="Calibri"/>
      <family val="2"/>
      <charset val="238"/>
      <scheme val="minor"/>
    </font>
    <font>
      <sz val="11"/>
      <color theme="1"/>
      <name val="Calibri"/>
      <family val="2"/>
      <scheme val="minor"/>
    </font>
    <font>
      <b/>
      <u/>
      <sz val="12"/>
      <color theme="0"/>
      <name val="Calibri"/>
      <family val="2"/>
      <scheme val="minor"/>
    </font>
    <font>
      <b/>
      <sz val="14"/>
      <color theme="0"/>
      <name val="Calibri"/>
      <family val="2"/>
      <scheme val="minor"/>
    </font>
    <font>
      <sz val="11"/>
      <color rgb="FFFF0000"/>
      <name val="Calibri"/>
      <family val="2"/>
      <scheme val="minor"/>
    </font>
    <font>
      <sz val="8"/>
      <name val="Calibri"/>
      <family val="2"/>
      <charset val="238"/>
      <scheme val="minor"/>
    </font>
    <font>
      <sz val="14"/>
      <color theme="1"/>
      <name val="Calibri"/>
      <family val="2"/>
      <scheme val="minor"/>
    </font>
    <font>
      <b/>
      <sz val="14"/>
      <color theme="1"/>
      <name val="Calibri"/>
      <family val="2"/>
      <scheme val="minor"/>
    </font>
    <font>
      <sz val="11"/>
      <color theme="0"/>
      <name val="Calibri"/>
      <family val="2"/>
      <charset val="238"/>
      <scheme val="minor"/>
    </font>
    <font>
      <i/>
      <sz val="14"/>
      <color theme="1"/>
      <name val="Calibri"/>
      <family val="2"/>
      <scheme val="minor"/>
    </font>
    <font>
      <b/>
      <sz val="12"/>
      <color theme="0"/>
      <name val="Calibri"/>
      <family val="2"/>
      <scheme val="minor"/>
    </font>
    <font>
      <sz val="11"/>
      <name val="Calibri"/>
      <family val="2"/>
      <scheme val="minor"/>
    </font>
    <font>
      <sz val="12"/>
      <name val="Calibri"/>
      <family val="2"/>
      <scheme val="minor"/>
    </font>
    <font>
      <b/>
      <sz val="16"/>
      <color theme="0"/>
      <name val="Calibri"/>
      <family val="2"/>
      <scheme val="minor"/>
    </font>
    <font>
      <sz val="20"/>
      <color theme="1"/>
      <name val="Calibri"/>
      <family val="2"/>
      <scheme val="minor"/>
    </font>
    <font>
      <b/>
      <sz val="16"/>
      <color theme="1"/>
      <name val="Calibri"/>
      <family val="2"/>
      <scheme val="minor"/>
    </font>
    <font>
      <sz val="12"/>
      <color theme="1"/>
      <name val="Calibri"/>
      <family val="2"/>
      <scheme val="minor"/>
    </font>
    <font>
      <sz val="11"/>
      <color theme="8" tint="0.79998168889431442"/>
      <name val="Calibri"/>
      <family val="2"/>
      <charset val="238"/>
      <scheme val="minor"/>
    </font>
    <font>
      <b/>
      <sz val="12"/>
      <color theme="1"/>
      <name val="Calibri"/>
      <family val="2"/>
      <scheme val="minor"/>
    </font>
    <font>
      <sz val="6"/>
      <color theme="1"/>
      <name val="Calibri"/>
      <family val="2"/>
      <charset val="238"/>
      <scheme val="minor"/>
    </font>
    <font>
      <b/>
      <sz val="14"/>
      <color theme="8" tint="-0.499984740745262"/>
      <name val="Calibri"/>
      <family val="2"/>
      <scheme val="minor"/>
    </font>
    <font>
      <sz val="11"/>
      <color rgb="FFFF0000"/>
      <name val="Calibri"/>
      <family val="2"/>
      <charset val="238"/>
      <scheme val="minor"/>
    </font>
    <font>
      <b/>
      <sz val="16"/>
      <name val="Calibri"/>
      <family val="2"/>
      <scheme val="minor"/>
    </font>
    <font>
      <sz val="14"/>
      <color theme="8" tint="-0.249977111117893"/>
      <name val="Calibri"/>
      <family val="2"/>
      <scheme val="minor"/>
    </font>
    <font>
      <i/>
      <sz val="14"/>
      <color theme="8" tint="-0.249977111117893"/>
      <name val="Calibri"/>
      <family val="2"/>
      <scheme val="minor"/>
    </font>
    <font>
      <b/>
      <sz val="11"/>
      <color rgb="FFFFFFFF"/>
      <name val="Calibri"/>
      <family val="2"/>
      <charset val="238"/>
      <scheme val="minor"/>
    </font>
    <font>
      <b/>
      <sz val="16"/>
      <color rgb="FFFFFFFF"/>
      <name val="Calibri"/>
      <family val="2"/>
      <charset val="238"/>
      <scheme val="minor"/>
    </font>
    <font>
      <b/>
      <i/>
      <sz val="12"/>
      <color theme="1"/>
      <name val="Calibri"/>
      <family val="2"/>
      <scheme val="minor"/>
    </font>
    <font>
      <b/>
      <sz val="11"/>
      <color theme="0"/>
      <name val="Calibri"/>
      <family val="2"/>
      <scheme val="minor"/>
    </font>
    <font>
      <sz val="11"/>
      <color theme="8" tint="-0.499984740745262"/>
      <name val="Calibri"/>
      <family val="2"/>
      <scheme val="minor"/>
    </font>
    <font>
      <b/>
      <sz val="20"/>
      <color theme="0"/>
      <name val="Calibri"/>
      <family val="2"/>
      <scheme val="minor"/>
    </font>
    <font>
      <b/>
      <sz val="11"/>
      <color theme="1"/>
      <name val="Calibri"/>
      <family val="2"/>
      <charset val="238"/>
      <scheme val="minor"/>
    </font>
    <font>
      <b/>
      <sz val="16"/>
      <color rgb="FFFF9B9B"/>
      <name val="Calibri"/>
      <family val="2"/>
      <scheme val="minor"/>
    </font>
    <font>
      <b/>
      <sz val="14"/>
      <color rgb="FFFF0000"/>
      <name val="Calibri"/>
      <family val="2"/>
      <scheme val="minor"/>
    </font>
    <font>
      <sz val="16"/>
      <color theme="0"/>
      <name val="Calibri"/>
      <family val="2"/>
      <scheme val="minor"/>
    </font>
    <font>
      <b/>
      <sz val="14"/>
      <color theme="1"/>
      <name val="Calibri"/>
      <family val="2"/>
      <charset val="238"/>
      <scheme val="minor"/>
    </font>
    <font>
      <b/>
      <sz val="14"/>
      <color rgb="FFFF0000"/>
      <name val="Calibri"/>
      <family val="2"/>
      <charset val="238"/>
      <scheme val="minor"/>
    </font>
  </fonts>
  <fills count="24">
    <fill>
      <patternFill patternType="none"/>
    </fill>
    <fill>
      <patternFill patternType="gray125"/>
    </fill>
    <fill>
      <patternFill patternType="solid">
        <fgColor rgb="FFFFFFCC"/>
      </patternFill>
    </fill>
    <fill>
      <patternFill patternType="solid">
        <fgColor theme="9" tint="0.59999389629810485"/>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4"/>
        <bgColor theme="4"/>
      </patternFill>
    </fill>
    <fill>
      <patternFill patternType="solid">
        <fgColor theme="8" tint="-0.499984740745262"/>
        <bgColor theme="4"/>
      </patternFill>
    </fill>
    <fill>
      <patternFill patternType="solid">
        <fgColor rgb="FF0070C0"/>
        <bgColor theme="4"/>
      </patternFill>
    </fill>
    <fill>
      <patternFill patternType="solid">
        <fgColor theme="8" tint="0.59999389629810485"/>
        <bgColor indexed="64"/>
      </patternFill>
    </fill>
    <fill>
      <patternFill patternType="solid">
        <fgColor theme="0"/>
        <bgColor indexed="64"/>
      </patternFill>
    </fill>
    <fill>
      <patternFill patternType="solid">
        <fgColor theme="0"/>
        <bgColor theme="4"/>
      </patternFill>
    </fill>
    <fill>
      <patternFill patternType="solid">
        <fgColor theme="4" tint="-0.249977111117893"/>
        <bgColor indexed="64"/>
      </patternFill>
    </fill>
    <fill>
      <patternFill patternType="solid">
        <fgColor rgb="FF004CA8"/>
        <bgColor indexed="64"/>
      </patternFill>
    </fill>
    <fill>
      <patternFill patternType="solid">
        <fgColor theme="5" tint="0.59999389629810485"/>
        <bgColor indexed="64"/>
      </patternFill>
    </fill>
    <fill>
      <patternFill patternType="solid">
        <fgColor theme="0"/>
        <bgColor theme="4" tint="0.59999389629810485"/>
      </patternFill>
    </fill>
    <fill>
      <patternFill patternType="solid">
        <fgColor theme="0"/>
        <bgColor theme="4" tint="0.79998168889431442"/>
      </patternFill>
    </fill>
    <fill>
      <patternFill patternType="solid">
        <fgColor theme="9" tint="-0.499984740745262"/>
        <bgColor indexed="64"/>
      </patternFill>
    </fill>
    <fill>
      <patternFill patternType="solid">
        <fgColor rgb="FFC00000"/>
        <bgColor indexed="64"/>
      </patternFill>
    </fill>
    <fill>
      <patternFill patternType="solid">
        <fgColor theme="9" tint="-0.499984740745262"/>
        <bgColor theme="4"/>
      </patternFill>
    </fill>
    <fill>
      <patternFill patternType="solid">
        <fgColor theme="2" tint="-0.499984740745262"/>
        <bgColor indexed="64"/>
      </patternFill>
    </fill>
    <fill>
      <patternFill patternType="solid">
        <fgColor theme="2" tint="-0.89999084444715716"/>
        <bgColor indexed="64"/>
      </patternFill>
    </fill>
  </fills>
  <borders count="80">
    <border>
      <left/>
      <right/>
      <top/>
      <bottom/>
      <diagonal/>
    </border>
    <border>
      <left style="thin">
        <color rgb="FFB2B2B2"/>
      </left>
      <right style="thin">
        <color rgb="FFB2B2B2"/>
      </right>
      <top style="thin">
        <color rgb="FFB2B2B2"/>
      </top>
      <bottom style="thin">
        <color rgb="FFB2B2B2"/>
      </bottom>
      <diagonal/>
    </border>
    <border>
      <left style="thin">
        <color theme="0"/>
      </left>
      <right/>
      <top/>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bottom style="thin">
        <color theme="0"/>
      </bottom>
      <diagonal/>
    </border>
    <border>
      <left style="thin">
        <color rgb="FFB2B2B2"/>
      </left>
      <right/>
      <top/>
      <bottom/>
      <diagonal/>
    </border>
    <border>
      <left style="thin">
        <color rgb="FFB2B2B2"/>
      </left>
      <right style="thin">
        <color rgb="FFB2B2B2"/>
      </right>
      <top/>
      <bottom style="thin">
        <color rgb="FFB2B2B2"/>
      </bottom>
      <diagonal/>
    </border>
    <border>
      <left style="medium">
        <color theme="8" tint="-0.499984740745262"/>
      </left>
      <right/>
      <top style="medium">
        <color theme="8" tint="-0.499984740745262"/>
      </top>
      <bottom/>
      <diagonal/>
    </border>
    <border>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diagonal/>
    </border>
    <border>
      <left/>
      <right style="medium">
        <color theme="8" tint="-0.499984740745262"/>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style="thick">
        <color theme="8" tint="-0.499984740745262"/>
      </left>
      <right/>
      <top/>
      <bottom/>
      <diagonal/>
    </border>
    <border>
      <left/>
      <right style="thick">
        <color theme="8" tint="-0.499984740745262"/>
      </right>
      <top/>
      <bottom/>
      <diagonal/>
    </border>
    <border>
      <left/>
      <right style="thick">
        <color theme="8" tint="-0.499984740745262"/>
      </right>
      <top style="thick">
        <color theme="8" tint="-0.499984740745262"/>
      </top>
      <bottom/>
      <diagonal/>
    </border>
    <border>
      <left/>
      <right style="thick">
        <color theme="8" tint="-0.499984740745262"/>
      </right>
      <top/>
      <bottom style="thick">
        <color theme="8" tint="-0.499984740745262"/>
      </bottom>
      <diagonal/>
    </border>
    <border>
      <left style="thick">
        <color theme="8" tint="-0.499984740745262"/>
      </left>
      <right/>
      <top style="thick">
        <color theme="8" tint="-0.499984740745262"/>
      </top>
      <bottom/>
      <diagonal/>
    </border>
    <border>
      <left/>
      <right/>
      <top style="thick">
        <color theme="8" tint="-0.499984740745262"/>
      </top>
      <bottom/>
      <diagonal/>
    </border>
    <border>
      <left style="thin">
        <color indexed="64"/>
      </left>
      <right/>
      <top style="thin">
        <color indexed="64"/>
      </top>
      <bottom style="thin">
        <color theme="0"/>
      </bottom>
      <diagonal/>
    </border>
    <border>
      <left/>
      <right/>
      <top style="thin">
        <color indexed="64"/>
      </top>
      <bottom/>
      <diagonal/>
    </border>
    <border>
      <left/>
      <right/>
      <top/>
      <bottom style="thin">
        <color indexed="64"/>
      </bottom>
      <diagonal/>
    </border>
    <border>
      <left style="thin">
        <color indexed="64"/>
      </left>
      <right style="thin">
        <color theme="0"/>
      </right>
      <top style="thin">
        <color indexed="64"/>
      </top>
      <bottom style="thin">
        <color theme="0"/>
      </bottom>
      <diagonal/>
    </border>
    <border>
      <left style="thin">
        <color indexed="64"/>
      </left>
      <right/>
      <top style="thin">
        <color indexed="64"/>
      </top>
      <bottom/>
      <diagonal/>
    </border>
    <border>
      <left style="thin">
        <color indexed="64"/>
      </left>
      <right/>
      <top/>
      <bottom style="thin">
        <color indexed="64"/>
      </bottom>
      <diagonal/>
    </border>
    <border>
      <left style="thin">
        <color theme="0"/>
      </left>
      <right style="thin">
        <color indexed="64"/>
      </right>
      <top style="thin">
        <color theme="0"/>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indexed="64"/>
      </top>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theme="0"/>
      </top>
      <bottom style="thin">
        <color indexed="64"/>
      </bottom>
      <diagonal/>
    </border>
    <border>
      <left style="thin">
        <color theme="8" tint="-0.499984740745262"/>
      </left>
      <right/>
      <top style="thin">
        <color theme="8" tint="-0.499984740745262"/>
      </top>
      <bottom/>
      <diagonal/>
    </border>
    <border>
      <left/>
      <right/>
      <top style="thin">
        <color theme="8" tint="-0.499984740745262"/>
      </top>
      <bottom/>
      <diagonal/>
    </border>
    <border>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top/>
      <bottom style="thin">
        <color theme="8" tint="-0.499984740745262"/>
      </bottom>
      <diagonal/>
    </border>
    <border>
      <left/>
      <right style="thin">
        <color theme="8" tint="-0.499984740745262"/>
      </right>
      <top/>
      <bottom style="thin">
        <color theme="8" tint="-0.499984740745262"/>
      </bottom>
      <diagonal/>
    </border>
    <border>
      <left style="medium">
        <color theme="8" tint="-0.499984740745262"/>
      </left>
      <right/>
      <top/>
      <bottom style="thin">
        <color theme="8" tint="-0.499984740745262"/>
      </bottom>
      <diagonal/>
    </border>
    <border>
      <left/>
      <right style="medium">
        <color theme="8" tint="-0.499984740745262"/>
      </right>
      <top/>
      <bottom style="thin">
        <color theme="8" tint="-0.499984740745262"/>
      </bottom>
      <diagonal/>
    </border>
    <border>
      <left style="thick">
        <color theme="8" tint="-0.499984740745262"/>
      </left>
      <right/>
      <top/>
      <bottom style="thick">
        <color theme="8" tint="-0.499984740745262"/>
      </bottom>
      <diagonal/>
    </border>
    <border>
      <left/>
      <right/>
      <top/>
      <bottom style="thick">
        <color theme="8" tint="-0.499984740745262"/>
      </bottom>
      <diagonal/>
    </border>
    <border>
      <left style="thick">
        <color theme="8" tint="-0.499984740745262"/>
      </left>
      <right style="thick">
        <color theme="0"/>
      </right>
      <top style="thick">
        <color theme="8" tint="-0.499984740745262"/>
      </top>
      <bottom style="thin">
        <color theme="0"/>
      </bottom>
      <diagonal/>
    </border>
    <border>
      <left style="thick">
        <color theme="0"/>
      </left>
      <right style="thick">
        <color theme="8" tint="-0.499984740745262"/>
      </right>
      <top style="thick">
        <color theme="8" tint="-0.499984740745262"/>
      </top>
      <bottom style="thin">
        <color theme="0"/>
      </bottom>
      <diagonal/>
    </border>
    <border>
      <left style="thick">
        <color theme="8" tint="-0.499984740745262"/>
      </left>
      <right style="thick">
        <color theme="0"/>
      </right>
      <top style="thin">
        <color theme="0"/>
      </top>
      <bottom style="thin">
        <color theme="0"/>
      </bottom>
      <diagonal/>
    </border>
    <border>
      <left style="thick">
        <color theme="0"/>
      </left>
      <right style="thick">
        <color theme="8" tint="-0.499984740745262"/>
      </right>
      <top style="thin">
        <color theme="0"/>
      </top>
      <bottom style="thin">
        <color theme="0"/>
      </bottom>
      <diagonal/>
    </border>
    <border>
      <left style="thick">
        <color theme="8" tint="-0.499984740745262"/>
      </left>
      <right style="thick">
        <color theme="0"/>
      </right>
      <top style="thin">
        <color theme="0"/>
      </top>
      <bottom style="thick">
        <color theme="8" tint="-0.499984740745262"/>
      </bottom>
      <diagonal/>
    </border>
    <border>
      <left style="thick">
        <color theme="0"/>
      </left>
      <right style="thick">
        <color theme="8" tint="-0.499984740745262"/>
      </right>
      <top style="thin">
        <color theme="0"/>
      </top>
      <bottom style="thick">
        <color theme="8" tint="-0.499984740745262"/>
      </bottom>
      <diagonal/>
    </border>
    <border>
      <left/>
      <right style="thin">
        <color theme="0"/>
      </right>
      <top style="thin">
        <color theme="0"/>
      </top>
      <bottom/>
      <diagonal/>
    </border>
    <border>
      <left style="thick">
        <color theme="0"/>
      </left>
      <right style="thin">
        <color theme="0"/>
      </right>
      <top style="thin">
        <color theme="0"/>
      </top>
      <bottom style="thin">
        <color theme="0"/>
      </bottom>
      <diagonal/>
    </border>
    <border>
      <left style="thin">
        <color theme="0"/>
      </left>
      <right style="thick">
        <color theme="0"/>
      </right>
      <top style="thin">
        <color theme="0"/>
      </top>
      <bottom style="thin">
        <color theme="0"/>
      </bottom>
      <diagonal/>
    </border>
    <border>
      <left style="thick">
        <color theme="0"/>
      </left>
      <right/>
      <top/>
      <bottom style="thin">
        <color theme="0"/>
      </bottom>
      <diagonal/>
    </border>
    <border>
      <left/>
      <right style="thick">
        <color theme="0"/>
      </right>
      <top/>
      <bottom style="thin">
        <color theme="0"/>
      </bottom>
      <diagonal/>
    </border>
    <border>
      <left style="thick">
        <color theme="0"/>
      </left>
      <right style="thin">
        <color theme="0"/>
      </right>
      <top style="thin">
        <color theme="0"/>
      </top>
      <bottom/>
      <diagonal/>
    </border>
    <border>
      <left style="thin">
        <color theme="0"/>
      </left>
      <right style="thick">
        <color theme="0"/>
      </right>
      <top style="thin">
        <color theme="0"/>
      </top>
      <bottom/>
      <diagonal/>
    </border>
    <border>
      <left style="thick">
        <color theme="0"/>
      </left>
      <right style="thin">
        <color theme="0"/>
      </right>
      <top/>
      <bottom style="thin">
        <color theme="0"/>
      </bottom>
      <diagonal/>
    </border>
    <border>
      <left style="thin">
        <color theme="0"/>
      </left>
      <right style="thick">
        <color theme="0"/>
      </right>
      <top/>
      <bottom style="thin">
        <color theme="0"/>
      </bottom>
      <diagonal/>
    </border>
    <border>
      <left style="thick">
        <color theme="0"/>
      </left>
      <right style="thin">
        <color theme="0"/>
      </right>
      <top/>
      <bottom/>
      <diagonal/>
    </border>
    <border>
      <left style="thin">
        <color theme="0"/>
      </left>
      <right style="thin">
        <color theme="4" tint="0.39997558519241921"/>
      </right>
      <top style="thin">
        <color theme="4" tint="0.39997558519241921"/>
      </top>
      <bottom style="thin">
        <color theme="4" tint="0.39997558519241921"/>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medium">
        <color theme="8" tint="-0.499984740745262"/>
      </left>
      <right style="medium">
        <color theme="8" tint="-0.499984740745262"/>
      </right>
      <top style="medium">
        <color theme="8" tint="-0.499984740745262"/>
      </top>
      <bottom style="medium">
        <color theme="8" tint="-0.499984740745262"/>
      </bottom>
      <diagonal/>
    </border>
    <border>
      <left style="thin">
        <color theme="0"/>
      </left>
      <right style="thin">
        <color theme="0"/>
      </right>
      <top/>
      <bottom/>
      <diagonal/>
    </border>
    <border>
      <left style="thick">
        <color theme="0"/>
      </left>
      <right/>
      <top/>
      <bottom/>
      <diagonal/>
    </border>
    <border>
      <left/>
      <right style="thick">
        <color theme="0"/>
      </right>
      <top/>
      <bottom/>
      <diagonal/>
    </border>
    <border>
      <left style="thin">
        <color theme="0"/>
      </left>
      <right style="thick">
        <color theme="0"/>
      </right>
      <top/>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44" fontId="1" fillId="0" borderId="0" applyFont="0" applyFill="0" applyBorder="0" applyAlignment="0" applyProtection="0"/>
  </cellStyleXfs>
  <cellXfs count="336">
    <xf numFmtId="0" fontId="0" fillId="0" borderId="0" xfId="0"/>
    <xf numFmtId="44" fontId="4" fillId="7" borderId="2" xfId="0" applyNumberFormat="1" applyFont="1" applyFill="1" applyBorder="1" applyAlignment="1">
      <alignment horizontal="center" vertical="center"/>
    </xf>
    <xf numFmtId="14" fontId="0" fillId="3" borderId="0" xfId="0" applyNumberFormat="1" applyFill="1" applyAlignment="1">
      <alignment horizontal="center"/>
    </xf>
    <xf numFmtId="0" fontId="0" fillId="0" borderId="0" xfId="0" applyBorder="1"/>
    <xf numFmtId="44" fontId="7" fillId="0" borderId="4" xfId="0" applyNumberFormat="1" applyFont="1" applyBorder="1" applyAlignment="1">
      <alignment vertical="center"/>
    </xf>
    <xf numFmtId="0" fontId="11" fillId="6" borderId="0" xfId="0" applyFont="1" applyFill="1" applyBorder="1"/>
    <xf numFmtId="2" fontId="7" fillId="0" borderId="6" xfId="0" applyNumberFormat="1" applyFont="1" applyBorder="1" applyAlignment="1">
      <alignment vertical="center"/>
    </xf>
    <xf numFmtId="0" fontId="0" fillId="6" borderId="0" xfId="0" applyFill="1"/>
    <xf numFmtId="0" fontId="4" fillId="8" borderId="4" xfId="0" applyFont="1" applyFill="1" applyBorder="1" applyAlignment="1">
      <alignment vertical="center"/>
    </xf>
    <xf numFmtId="22" fontId="0" fillId="0" borderId="0" xfId="0" applyNumberFormat="1"/>
    <xf numFmtId="0" fontId="0" fillId="0" borderId="0" xfId="0" applyNumberFormat="1"/>
    <xf numFmtId="44" fontId="0" fillId="0" borderId="0" xfId="0" applyNumberFormat="1"/>
    <xf numFmtId="0" fontId="0" fillId="0" borderId="0" xfId="0" applyNumberFormat="1" applyAlignment="1">
      <alignment horizontal="center" vertical="center"/>
    </xf>
    <xf numFmtId="44" fontId="0" fillId="3" borderId="0" xfId="1" applyNumberFormat="1" applyFont="1" applyFill="1" applyAlignment="1">
      <alignment horizontal="right"/>
    </xf>
    <xf numFmtId="0" fontId="8" fillId="0" borderId="8" xfId="0" applyNumberFormat="1" applyFont="1" applyBorder="1" applyAlignment="1">
      <alignment vertical="center"/>
    </xf>
    <xf numFmtId="44" fontId="8" fillId="0" borderId="8" xfId="0" applyNumberFormat="1" applyFont="1" applyBorder="1" applyAlignment="1">
      <alignment vertical="center"/>
    </xf>
    <xf numFmtId="44" fontId="2" fillId="3" borderId="10" xfId="3" applyNumberFormat="1" applyFont="1" applyFill="1" applyBorder="1" applyAlignment="1">
      <alignment horizontal="right"/>
    </xf>
    <xf numFmtId="44" fontId="4" fillId="0" borderId="0" xfId="0" applyNumberFormat="1" applyFont="1" applyFill="1" applyBorder="1" applyAlignment="1">
      <alignment horizontal="center" vertical="center"/>
    </xf>
    <xf numFmtId="0" fontId="2" fillId="6" borderId="0" xfId="0" applyFont="1" applyFill="1"/>
    <xf numFmtId="0" fontId="2" fillId="0" borderId="0" xfId="0" applyNumberFormat="1" applyFont="1"/>
    <xf numFmtId="0" fontId="2" fillId="0" borderId="0" xfId="0" applyFont="1"/>
    <xf numFmtId="169" fontId="4" fillId="7" borderId="2" xfId="0" applyNumberFormat="1" applyFont="1" applyFill="1" applyBorder="1" applyAlignment="1">
      <alignment horizontal="center" vertical="center"/>
    </xf>
    <xf numFmtId="169" fontId="0" fillId="6" borderId="0" xfId="0" applyNumberFormat="1" applyFill="1"/>
    <xf numFmtId="14" fontId="13" fillId="6" borderId="0" xfId="0" applyNumberFormat="1" applyFont="1" applyFill="1"/>
    <xf numFmtId="0" fontId="13" fillId="6" borderId="0" xfId="0" applyFont="1" applyFill="1"/>
    <xf numFmtId="169" fontId="13" fillId="6" borderId="0" xfId="0" applyNumberFormat="1" applyFont="1" applyFill="1"/>
    <xf numFmtId="14" fontId="12" fillId="3" borderId="0" xfId="0" applyNumberFormat="1" applyFont="1" applyFill="1" applyAlignment="1">
      <alignment horizontal="center"/>
    </xf>
    <xf numFmtId="0" fontId="12" fillId="7" borderId="0" xfId="0" applyNumberFormat="1" applyFont="1" applyFill="1" applyAlignment="1">
      <alignment horizontal="center" vertical="center"/>
    </xf>
    <xf numFmtId="44" fontId="12" fillId="3" borderId="10" xfId="3" applyNumberFormat="1" applyFont="1" applyFill="1" applyBorder="1" applyAlignment="1">
      <alignment horizontal="right"/>
    </xf>
    <xf numFmtId="44" fontId="12" fillId="3" borderId="9" xfId="0" applyNumberFormat="1" applyFont="1" applyFill="1" applyBorder="1" applyAlignment="1">
      <alignment horizontal="right"/>
    </xf>
    <xf numFmtId="44" fontId="12" fillId="3" borderId="0" xfId="1" applyNumberFormat="1" applyFont="1" applyFill="1" applyAlignment="1">
      <alignment horizontal="right"/>
    </xf>
    <xf numFmtId="44" fontId="12" fillId="3" borderId="0" xfId="0" applyNumberFormat="1" applyFont="1" applyFill="1" applyAlignment="1">
      <alignment horizontal="right"/>
    </xf>
    <xf numFmtId="0" fontId="7" fillId="0" borderId="8" xfId="0" applyFont="1" applyBorder="1" applyAlignment="1">
      <alignment vertical="center"/>
    </xf>
    <xf numFmtId="10" fontId="7" fillId="0" borderId="17" xfId="2" applyNumberFormat="1" applyFont="1" applyBorder="1" applyAlignment="1">
      <alignment vertical="center"/>
    </xf>
    <xf numFmtId="44" fontId="7" fillId="0" borderId="17" xfId="4" applyNumberFormat="1" applyFont="1" applyBorder="1" applyAlignment="1">
      <alignment vertical="center"/>
    </xf>
    <xf numFmtId="0" fontId="0" fillId="0" borderId="29" xfId="0" applyFont="1" applyFill="1" applyBorder="1" applyAlignment="1">
      <alignment horizontal="center" vertical="center"/>
    </xf>
    <xf numFmtId="44" fontId="2" fillId="0" borderId="29" xfId="3" applyNumberFormat="1" applyFont="1" applyFill="1" applyBorder="1" applyAlignment="1">
      <alignment horizontal="right"/>
    </xf>
    <xf numFmtId="44" fontId="5" fillId="0" borderId="29" xfId="0" applyNumberFormat="1" applyFont="1" applyFill="1" applyBorder="1" applyAlignment="1">
      <alignment horizontal="right"/>
    </xf>
    <xf numFmtId="44" fontId="0" fillId="0" borderId="29" xfId="0" applyNumberFormat="1" applyFont="1" applyFill="1" applyBorder="1" applyAlignment="1">
      <alignment horizontal="right"/>
    </xf>
    <xf numFmtId="165" fontId="0" fillId="0" borderId="29" xfId="1" applyNumberFormat="1" applyFont="1" applyFill="1" applyBorder="1" applyAlignment="1">
      <alignment horizontal="right"/>
    </xf>
    <xf numFmtId="0" fontId="0" fillId="0" borderId="30" xfId="0" applyFont="1" applyFill="1" applyBorder="1" applyAlignment="1">
      <alignment horizontal="center" vertical="center"/>
    </xf>
    <xf numFmtId="44" fontId="2" fillId="0" borderId="30" xfId="3" applyNumberFormat="1" applyFont="1" applyFill="1" applyBorder="1" applyAlignment="1">
      <alignment horizontal="right"/>
    </xf>
    <xf numFmtId="44" fontId="5" fillId="0" borderId="30" xfId="0" applyNumberFormat="1" applyFont="1" applyFill="1" applyBorder="1" applyAlignment="1">
      <alignment horizontal="right"/>
    </xf>
    <xf numFmtId="44" fontId="0" fillId="0" borderId="30" xfId="0" applyNumberFormat="1" applyFont="1" applyFill="1" applyBorder="1" applyAlignment="1">
      <alignment horizontal="right"/>
    </xf>
    <xf numFmtId="165" fontId="0" fillId="0" borderId="30" xfId="1" applyNumberFormat="1" applyFont="1" applyFill="1" applyBorder="1" applyAlignment="1">
      <alignment horizontal="right"/>
    </xf>
    <xf numFmtId="22" fontId="0" fillId="4" borderId="31" xfId="0" applyNumberFormat="1" applyFont="1" applyFill="1" applyBorder="1" applyAlignment="1">
      <alignment horizontal="center"/>
    </xf>
    <xf numFmtId="9" fontId="0" fillId="0" borderId="34" xfId="2" applyNumberFormat="1" applyFont="1" applyBorder="1"/>
    <xf numFmtId="0" fontId="0" fillId="0" borderId="39" xfId="0" applyFont="1" applyBorder="1" applyAlignment="1">
      <alignment horizontal="center" vertical="center"/>
    </xf>
    <xf numFmtId="0" fontId="0" fillId="0" borderId="40" xfId="0" applyFont="1" applyBorder="1" applyAlignment="1">
      <alignment horizontal="center" vertical="center"/>
    </xf>
    <xf numFmtId="44" fontId="2" fillId="0" borderId="41" xfId="3" applyNumberFormat="1" applyFont="1" applyFill="1" applyBorder="1" applyAlignment="1">
      <alignment horizontal="right"/>
    </xf>
    <xf numFmtId="44" fontId="5" fillId="0" borderId="42" xfId="0" applyNumberFormat="1" applyFont="1" applyFill="1" applyBorder="1" applyAlignment="1">
      <alignment horizontal="right"/>
    </xf>
    <xf numFmtId="44" fontId="0" fillId="0" borderId="42" xfId="0" applyNumberFormat="1" applyFont="1" applyFill="1" applyBorder="1" applyAlignment="1">
      <alignment horizontal="right"/>
    </xf>
    <xf numFmtId="165" fontId="0" fillId="0" borderId="42" xfId="1" applyNumberFormat="1" applyFont="1" applyFill="1" applyBorder="1" applyAlignment="1">
      <alignment horizontal="right"/>
    </xf>
    <xf numFmtId="9" fontId="0" fillId="0" borderId="43" xfId="2" applyNumberFormat="1" applyFont="1" applyFill="1" applyBorder="1"/>
    <xf numFmtId="0" fontId="19" fillId="6" borderId="0" xfId="0" applyFont="1" applyFill="1" applyBorder="1"/>
    <xf numFmtId="0" fontId="3" fillId="6" borderId="0" xfId="0" applyFont="1" applyFill="1" applyBorder="1" applyAlignment="1">
      <alignment horizontal="center" vertical="center"/>
    </xf>
    <xf numFmtId="44" fontId="3" fillId="6" borderId="0" xfId="3" applyNumberFormat="1" applyFont="1" applyFill="1" applyBorder="1" applyAlignment="1">
      <alignment horizontal="center" vertical="center"/>
    </xf>
    <xf numFmtId="22" fontId="3" fillId="6" borderId="0" xfId="0" applyNumberFormat="1" applyFont="1" applyFill="1" applyBorder="1" applyAlignment="1">
      <alignment horizontal="center" vertical="center"/>
    </xf>
    <xf numFmtId="9" fontId="3" fillId="6" borderId="0" xfId="3" applyNumberFormat="1" applyFont="1" applyFill="1" applyBorder="1" applyAlignment="1">
      <alignment horizontal="center" vertical="center"/>
    </xf>
    <xf numFmtId="0" fontId="11" fillId="7" borderId="36" xfId="0" applyFont="1" applyFill="1" applyBorder="1" applyAlignment="1">
      <alignment horizontal="center" vertical="center"/>
    </xf>
    <xf numFmtId="44" fontId="11" fillId="7" borderId="36" xfId="0" applyNumberFormat="1" applyFont="1" applyFill="1" applyBorder="1" applyAlignment="1">
      <alignment horizontal="right" vertical="center"/>
    </xf>
    <xf numFmtId="168" fontId="11" fillId="7" borderId="36" xfId="1" applyNumberFormat="1" applyFont="1" applyFill="1" applyBorder="1" applyAlignment="1">
      <alignment horizontal="right" vertical="center"/>
    </xf>
    <xf numFmtId="44" fontId="11" fillId="7" borderId="37" xfId="0" applyNumberFormat="1" applyFont="1" applyFill="1" applyBorder="1" applyAlignment="1">
      <alignment horizontal="right" vertical="center"/>
    </xf>
    <xf numFmtId="0" fontId="11" fillId="0" borderId="0" xfId="0" applyFont="1" applyFill="1" applyBorder="1" applyAlignment="1">
      <alignment horizontal="center" vertical="center"/>
    </xf>
    <xf numFmtId="44" fontId="11" fillId="0" borderId="0" xfId="0" applyNumberFormat="1" applyFont="1" applyFill="1" applyBorder="1" applyAlignment="1">
      <alignment horizontal="right" vertical="center"/>
    </xf>
    <xf numFmtId="168" fontId="11" fillId="0" borderId="0" xfId="1" applyNumberFormat="1" applyFont="1" applyFill="1" applyBorder="1" applyAlignment="1">
      <alignment horizontal="right" vertical="center"/>
    </xf>
    <xf numFmtId="0" fontId="0" fillId="0" borderId="42" xfId="0" applyFont="1" applyFill="1" applyBorder="1" applyAlignment="1">
      <alignment horizontal="center" vertical="center"/>
    </xf>
    <xf numFmtId="44" fontId="2" fillId="0" borderId="42" xfId="3" applyNumberFormat="1" applyFont="1" applyFill="1" applyBorder="1" applyAlignment="1">
      <alignment horizontal="right"/>
    </xf>
    <xf numFmtId="44" fontId="2" fillId="3" borderId="41" xfId="3" applyNumberFormat="1" applyFont="1" applyFill="1" applyBorder="1" applyAlignment="1">
      <alignment horizontal="right"/>
    </xf>
    <xf numFmtId="44" fontId="5" fillId="3" borderId="42" xfId="0" applyNumberFormat="1" applyFont="1" applyFill="1" applyBorder="1" applyAlignment="1">
      <alignment horizontal="right"/>
    </xf>
    <xf numFmtId="44" fontId="0" fillId="3" borderId="42" xfId="0" applyNumberFormat="1" applyFont="1" applyFill="1" applyBorder="1" applyAlignment="1">
      <alignment horizontal="right"/>
    </xf>
    <xf numFmtId="165" fontId="0" fillId="3" borderId="42" xfId="1" applyNumberFormat="1" applyFont="1" applyFill="1" applyBorder="1" applyAlignment="1">
      <alignment horizontal="right"/>
    </xf>
    <xf numFmtId="0" fontId="0" fillId="0" borderId="32" xfId="0" applyFont="1" applyFill="1" applyBorder="1" applyAlignment="1">
      <alignment horizontal="center" vertical="center"/>
    </xf>
    <xf numFmtId="0" fontId="0" fillId="0" borderId="33" xfId="0" applyFont="1" applyFill="1" applyBorder="1" applyAlignment="1">
      <alignment horizontal="center" vertical="center"/>
    </xf>
    <xf numFmtId="0" fontId="0" fillId="12" borderId="0" xfId="0" applyFill="1" applyBorder="1"/>
    <xf numFmtId="0" fontId="18" fillId="12" borderId="0" xfId="0" applyFont="1" applyFill="1" applyBorder="1"/>
    <xf numFmtId="0" fontId="0" fillId="12" borderId="11" xfId="0" applyFill="1" applyBorder="1"/>
    <xf numFmtId="0" fontId="0" fillId="12" borderId="12" xfId="0" applyFill="1" applyBorder="1"/>
    <xf numFmtId="0" fontId="0" fillId="12" borderId="13" xfId="0" applyFill="1" applyBorder="1"/>
    <xf numFmtId="0" fontId="0" fillId="12" borderId="14" xfId="0" applyFill="1" applyBorder="1"/>
    <xf numFmtId="0" fontId="0" fillId="12" borderId="15" xfId="0" applyFill="1" applyBorder="1"/>
    <xf numFmtId="0" fontId="0" fillId="12" borderId="19" xfId="0" applyFill="1" applyBorder="1"/>
    <xf numFmtId="0" fontId="0" fillId="12" borderId="20" xfId="0" applyFill="1" applyBorder="1"/>
    <xf numFmtId="0" fontId="0" fillId="12" borderId="21" xfId="0" applyFill="1" applyBorder="1"/>
    <xf numFmtId="0" fontId="0" fillId="0" borderId="46" xfId="0" applyFont="1" applyBorder="1" applyAlignment="1">
      <alignment horizontal="center" vertical="center"/>
    </xf>
    <xf numFmtId="44" fontId="2" fillId="5" borderId="46" xfId="3" applyNumberFormat="1" applyFont="1" applyFill="1" applyBorder="1" applyAlignment="1">
      <alignment horizontal="right"/>
    </xf>
    <xf numFmtId="44" fontId="5" fillId="0" borderId="46" xfId="0" applyNumberFormat="1" applyFont="1" applyBorder="1" applyAlignment="1">
      <alignment horizontal="right"/>
    </xf>
    <xf numFmtId="44" fontId="0" fillId="0" borderId="46" xfId="0" applyNumberFormat="1" applyFont="1" applyBorder="1" applyAlignment="1">
      <alignment horizontal="right"/>
    </xf>
    <xf numFmtId="9" fontId="0" fillId="0" borderId="47" xfId="2" applyNumberFormat="1" applyFont="1" applyBorder="1"/>
    <xf numFmtId="0" fontId="0" fillId="0" borderId="49" xfId="0" applyFont="1" applyBorder="1" applyAlignment="1">
      <alignment horizontal="center" vertical="center"/>
    </xf>
    <xf numFmtId="44" fontId="2" fillId="5" borderId="49" xfId="3" applyNumberFormat="1" applyFont="1" applyFill="1" applyBorder="1" applyAlignment="1">
      <alignment horizontal="right"/>
    </xf>
    <xf numFmtId="44" fontId="5" fillId="0" borderId="49" xfId="0" applyNumberFormat="1" applyFont="1" applyBorder="1" applyAlignment="1">
      <alignment horizontal="right"/>
    </xf>
    <xf numFmtId="44" fontId="0" fillId="0" borderId="49" xfId="0" applyNumberFormat="1" applyFont="1" applyBorder="1" applyAlignment="1">
      <alignment horizontal="right"/>
    </xf>
    <xf numFmtId="9" fontId="0" fillId="0" borderId="50" xfId="2" applyNumberFormat="1" applyFont="1" applyBorder="1"/>
    <xf numFmtId="0" fontId="0" fillId="12" borderId="51" xfId="0" applyFill="1" applyBorder="1"/>
    <xf numFmtId="0" fontId="0" fillId="12" borderId="49" xfId="0" applyFill="1" applyBorder="1"/>
    <xf numFmtId="0" fontId="0" fillId="12" borderId="52" xfId="0" applyFill="1" applyBorder="1"/>
    <xf numFmtId="0" fontId="0" fillId="12" borderId="26" xfId="0" applyFill="1" applyBorder="1"/>
    <xf numFmtId="0" fontId="0" fillId="12" borderId="27" xfId="0" applyFill="1" applyBorder="1"/>
    <xf numFmtId="0" fontId="0" fillId="12" borderId="24" xfId="0" applyFill="1" applyBorder="1"/>
    <xf numFmtId="0" fontId="0" fillId="12" borderId="22" xfId="0" applyFill="1" applyBorder="1"/>
    <xf numFmtId="0" fontId="0" fillId="12" borderId="23" xfId="0" applyFill="1" applyBorder="1"/>
    <xf numFmtId="0" fontId="0" fillId="12" borderId="53" xfId="0" applyFill="1" applyBorder="1"/>
    <xf numFmtId="0" fontId="0" fillId="12" borderId="54" xfId="0" applyFill="1" applyBorder="1"/>
    <xf numFmtId="0" fontId="0" fillId="12" borderId="25" xfId="0" applyFill="1" applyBorder="1"/>
    <xf numFmtId="0" fontId="20" fillId="12" borderId="0" xfId="0" applyFont="1" applyFill="1" applyBorder="1" applyAlignment="1">
      <alignment horizontal="center"/>
    </xf>
    <xf numFmtId="0" fontId="0" fillId="12" borderId="0" xfId="0" applyFill="1"/>
    <xf numFmtId="166" fontId="4" fillId="12" borderId="0" xfId="0" applyNumberFormat="1" applyFont="1" applyFill="1" applyBorder="1" applyAlignment="1">
      <alignment vertical="center"/>
    </xf>
    <xf numFmtId="9" fontId="0" fillId="12" borderId="0" xfId="2" applyFont="1" applyFill="1"/>
    <xf numFmtId="0" fontId="7" fillId="0" borderId="4" xfId="0" applyFont="1" applyFill="1" applyBorder="1" applyAlignment="1">
      <alignment vertical="center"/>
    </xf>
    <xf numFmtId="0" fontId="8" fillId="0" borderId="0" xfId="0" applyNumberFormat="1" applyFont="1" applyFill="1"/>
    <xf numFmtId="0" fontId="0" fillId="0" borderId="0" xfId="0" applyFill="1" applyBorder="1"/>
    <xf numFmtId="0" fontId="4" fillId="13" borderId="4" xfId="0" applyFont="1" applyFill="1" applyBorder="1" applyAlignment="1">
      <alignment horizontal="center" vertical="center"/>
    </xf>
    <xf numFmtId="0" fontId="7" fillId="12" borderId="17" xfId="0" applyFont="1" applyFill="1" applyBorder="1" applyAlignment="1">
      <alignment horizontal="left" vertical="center"/>
    </xf>
    <xf numFmtId="44" fontId="8" fillId="12" borderId="0" xfId="0" applyNumberFormat="1" applyFont="1" applyFill="1"/>
    <xf numFmtId="44" fontId="16" fillId="12" borderId="0" xfId="0" applyNumberFormat="1" applyFont="1" applyFill="1" applyAlignment="1">
      <alignment horizontal="right" vertical="center"/>
    </xf>
    <xf numFmtId="14" fontId="0" fillId="12" borderId="0" xfId="0" applyNumberFormat="1" applyFill="1" applyBorder="1"/>
    <xf numFmtId="14" fontId="9" fillId="6" borderId="0" xfId="0" applyNumberFormat="1" applyFont="1" applyFill="1" applyBorder="1"/>
    <xf numFmtId="14" fontId="20" fillId="12" borderId="0" xfId="0" applyNumberFormat="1" applyFont="1" applyFill="1" applyBorder="1" applyAlignment="1">
      <alignment horizontal="center"/>
    </xf>
    <xf numFmtId="14" fontId="11" fillId="7" borderId="35" xfId="0" applyNumberFormat="1" applyFont="1" applyFill="1" applyBorder="1" applyAlignment="1">
      <alignment horizontal="center" vertical="center"/>
    </xf>
    <xf numFmtId="14" fontId="0" fillId="12" borderId="12" xfId="0" applyNumberFormat="1" applyFill="1" applyBorder="1"/>
    <xf numFmtId="14" fontId="0" fillId="0" borderId="0" xfId="0" applyNumberFormat="1" applyBorder="1"/>
    <xf numFmtId="14" fontId="11" fillId="0" borderId="0" xfId="0" applyNumberFormat="1" applyFont="1" applyFill="1" applyBorder="1" applyAlignment="1">
      <alignment horizontal="center" vertical="center"/>
    </xf>
    <xf numFmtId="14" fontId="0" fillId="12" borderId="49" xfId="0" applyNumberFormat="1" applyFill="1" applyBorder="1"/>
    <xf numFmtId="14" fontId="0" fillId="4" borderId="28" xfId="0" applyNumberFormat="1" applyFont="1" applyFill="1" applyBorder="1" applyAlignment="1">
      <alignment horizontal="center"/>
    </xf>
    <xf numFmtId="14" fontId="18" fillId="12" borderId="0" xfId="0" applyNumberFormat="1" applyFont="1" applyFill="1" applyBorder="1"/>
    <xf numFmtId="0" fontId="14" fillId="8" borderId="55" xfId="0" applyFont="1" applyFill="1" applyBorder="1" applyAlignment="1">
      <alignment horizontal="center" vertical="center"/>
    </xf>
    <xf numFmtId="2" fontId="21" fillId="5" borderId="56" xfId="0" applyNumberFormat="1" applyFont="1" applyFill="1" applyBorder="1" applyAlignment="1">
      <alignment horizontal="center" vertical="center"/>
    </xf>
    <xf numFmtId="0" fontId="14" fillId="8" borderId="57" xfId="0" applyFont="1" applyFill="1" applyBorder="1" applyAlignment="1">
      <alignment horizontal="center" vertical="center"/>
    </xf>
    <xf numFmtId="2" fontId="21" fillId="5" borderId="58" xfId="0" applyNumberFormat="1" applyFont="1" applyFill="1" applyBorder="1" applyAlignment="1">
      <alignment horizontal="center" vertical="center"/>
    </xf>
    <xf numFmtId="0" fontId="14" fillId="8" borderId="59" xfId="0" applyFont="1" applyFill="1" applyBorder="1" applyAlignment="1">
      <alignment horizontal="center" vertical="center"/>
    </xf>
    <xf numFmtId="2" fontId="21" fillId="5" borderId="60" xfId="0" applyNumberFormat="1" applyFont="1" applyFill="1" applyBorder="1" applyAlignment="1">
      <alignment horizontal="center" vertical="center"/>
    </xf>
    <xf numFmtId="2" fontId="7" fillId="0" borderId="2" xfId="2" applyNumberFormat="1" applyFont="1" applyBorder="1" applyAlignment="1">
      <alignment vertical="center"/>
    </xf>
    <xf numFmtId="0" fontId="0" fillId="0" borderId="0" xfId="0" applyNumberFormat="1" applyFont="1" applyAlignment="1">
      <alignment horizontal="center" vertical="center"/>
    </xf>
    <xf numFmtId="44" fontId="22" fillId="3" borderId="9" xfId="0" applyNumberFormat="1" applyFont="1" applyFill="1" applyBorder="1" applyAlignment="1">
      <alignment horizontal="right"/>
    </xf>
    <xf numFmtId="169" fontId="0" fillId="3" borderId="0" xfId="1" applyNumberFormat="1" applyFont="1" applyFill="1" applyAlignment="1">
      <alignment horizontal="right"/>
    </xf>
    <xf numFmtId="169" fontId="12" fillId="3" borderId="0" xfId="1" applyNumberFormat="1" applyFont="1" applyFill="1" applyAlignment="1">
      <alignment horizontal="right"/>
    </xf>
    <xf numFmtId="44" fontId="0" fillId="12" borderId="42" xfId="0" applyNumberFormat="1" applyFont="1" applyFill="1" applyBorder="1" applyAlignment="1">
      <alignment horizontal="right"/>
    </xf>
    <xf numFmtId="44" fontId="0" fillId="11" borderId="42" xfId="0" applyNumberFormat="1" applyFont="1" applyFill="1" applyBorder="1" applyAlignment="1">
      <alignment horizontal="right"/>
    </xf>
    <xf numFmtId="165" fontId="0" fillId="11" borderId="42" xfId="1" applyNumberFormat="1" applyFont="1" applyFill="1" applyBorder="1" applyAlignment="1">
      <alignment horizontal="right"/>
    </xf>
    <xf numFmtId="9" fontId="0" fillId="11" borderId="43" xfId="2" applyNumberFormat="1" applyFont="1" applyFill="1" applyBorder="1"/>
    <xf numFmtId="14" fontId="0" fillId="12" borderId="44" xfId="0" applyNumberFormat="1" applyFont="1" applyFill="1" applyBorder="1" applyAlignment="1">
      <alignment horizontal="center"/>
    </xf>
    <xf numFmtId="14" fontId="0" fillId="12" borderId="28" xfId="0" applyNumberFormat="1" applyFont="1" applyFill="1" applyBorder="1" applyAlignment="1">
      <alignment horizontal="center"/>
    </xf>
    <xf numFmtId="14" fontId="0" fillId="12" borderId="48" xfId="0" applyNumberFormat="1" applyFont="1" applyFill="1" applyBorder="1" applyAlignment="1">
      <alignment horizontal="center"/>
    </xf>
    <xf numFmtId="14" fontId="0" fillId="12" borderId="45" xfId="0" applyNumberFormat="1" applyFont="1" applyFill="1" applyBorder="1" applyAlignment="1">
      <alignment horizontal="center"/>
    </xf>
    <xf numFmtId="14" fontId="0" fillId="12" borderId="41" xfId="0" applyNumberFormat="1" applyFont="1" applyFill="1" applyBorder="1" applyAlignment="1">
      <alignment horizontal="center"/>
    </xf>
    <xf numFmtId="14" fontId="0" fillId="12" borderId="38" xfId="0" applyNumberFormat="1" applyFont="1" applyFill="1" applyBorder="1" applyAlignment="1">
      <alignment horizontal="center"/>
    </xf>
    <xf numFmtId="44" fontId="2" fillId="0" borderId="0" xfId="3" applyNumberFormat="1" applyFont="1" applyFill="1" applyBorder="1" applyAlignment="1">
      <alignment horizontal="right"/>
    </xf>
    <xf numFmtId="0" fontId="0" fillId="0" borderId="0" xfId="0" applyFont="1" applyFill="1" applyBorder="1" applyAlignment="1">
      <alignment horizontal="center" vertical="center"/>
    </xf>
    <xf numFmtId="44" fontId="0" fillId="0" borderId="0" xfId="0" applyNumberFormat="1" applyFont="1" applyFill="1" applyBorder="1" applyAlignment="1">
      <alignment horizontal="right"/>
    </xf>
    <xf numFmtId="168" fontId="0" fillId="0" borderId="0" xfId="1" applyNumberFormat="1" applyFont="1" applyFill="1" applyBorder="1" applyAlignment="1">
      <alignment horizontal="right"/>
    </xf>
    <xf numFmtId="10" fontId="0" fillId="0" borderId="0" xfId="2" applyNumberFormat="1" applyFont="1" applyFill="1" applyBorder="1"/>
    <xf numFmtId="44" fontId="23" fillId="8" borderId="6" xfId="0" applyNumberFormat="1" applyFont="1" applyFill="1" applyBorder="1" applyAlignment="1">
      <alignment horizontal="center" vertical="center"/>
    </xf>
    <xf numFmtId="44" fontId="7" fillId="0" borderId="3" xfId="0" applyNumberFormat="1" applyFont="1" applyBorder="1" applyAlignment="1">
      <alignment vertical="center"/>
    </xf>
    <xf numFmtId="44" fontId="7" fillId="0" borderId="5" xfId="4" applyFont="1" applyBorder="1" applyAlignment="1">
      <alignment vertical="center"/>
    </xf>
    <xf numFmtId="166" fontId="4" fillId="8" borderId="61" xfId="0" applyNumberFormat="1" applyFont="1" applyFill="1" applyBorder="1" applyAlignment="1">
      <alignment vertical="center"/>
    </xf>
    <xf numFmtId="10" fontId="7" fillId="0" borderId="64" xfId="2" applyNumberFormat="1" applyFont="1" applyBorder="1" applyAlignment="1">
      <alignment vertical="center"/>
    </xf>
    <xf numFmtId="10" fontId="7" fillId="0" borderId="65" xfId="2" applyNumberFormat="1" applyFont="1" applyBorder="1" applyAlignment="1">
      <alignment vertical="center"/>
    </xf>
    <xf numFmtId="0" fontId="7" fillId="0" borderId="16" xfId="0" applyNumberFormat="1" applyFont="1" applyBorder="1" applyAlignment="1">
      <alignment horizontal="center" vertical="center"/>
    </xf>
    <xf numFmtId="167" fontId="7" fillId="0" borderId="62" xfId="0" applyNumberFormat="1" applyFont="1" applyBorder="1" applyAlignment="1">
      <alignment vertical="center"/>
    </xf>
    <xf numFmtId="167" fontId="7" fillId="0" borderId="68" xfId="0" applyNumberFormat="1" applyFont="1" applyBorder="1" applyAlignment="1">
      <alignment vertical="center"/>
    </xf>
    <xf numFmtId="2" fontId="7" fillId="0" borderId="61" xfId="0" applyNumberFormat="1" applyFont="1" applyBorder="1" applyAlignment="1">
      <alignment vertical="center"/>
    </xf>
    <xf numFmtId="10" fontId="7" fillId="0" borderId="63" xfId="2" applyNumberFormat="1" applyFont="1" applyBorder="1" applyAlignment="1">
      <alignment vertical="center"/>
    </xf>
    <xf numFmtId="166" fontId="4" fillId="8" borderId="67" xfId="0" applyNumberFormat="1" applyFont="1" applyFill="1" applyBorder="1" applyAlignment="1">
      <alignment vertical="center"/>
    </xf>
    <xf numFmtId="170" fontId="7" fillId="0" borderId="18" xfId="0" applyNumberFormat="1" applyFont="1" applyBorder="1" applyAlignment="1">
      <alignment vertical="center"/>
    </xf>
    <xf numFmtId="2" fontId="7" fillId="0" borderId="0" xfId="2" applyNumberFormat="1" applyFont="1" applyBorder="1" applyAlignment="1">
      <alignment vertical="center"/>
    </xf>
    <xf numFmtId="2" fontId="7" fillId="0" borderId="70" xfId="0" applyNumberFormat="1" applyFont="1" applyBorder="1" applyAlignment="1">
      <alignment vertical="center"/>
    </xf>
    <xf numFmtId="44" fontId="7" fillId="0" borderId="69" xfId="2" applyNumberFormat="1" applyFont="1" applyBorder="1" applyAlignment="1">
      <alignment vertical="center"/>
    </xf>
    <xf numFmtId="167" fontId="24" fillId="0" borderId="66" xfId="0" applyNumberFormat="1" applyFont="1" applyBorder="1" applyAlignment="1">
      <alignment vertical="center"/>
    </xf>
    <xf numFmtId="44" fontId="24" fillId="0" borderId="4" xfId="0" applyNumberFormat="1" applyFont="1" applyBorder="1" applyAlignment="1">
      <alignment vertical="center"/>
    </xf>
    <xf numFmtId="166" fontId="25" fillId="0" borderId="7" xfId="0" applyNumberFormat="1" applyFont="1" applyBorder="1" applyAlignment="1">
      <alignment vertical="center"/>
    </xf>
    <xf numFmtId="0" fontId="7" fillId="14" borderId="6" xfId="0" applyFont="1" applyFill="1" applyBorder="1" applyAlignment="1">
      <alignment vertical="center"/>
    </xf>
    <xf numFmtId="0" fontId="7" fillId="14" borderId="7" xfId="0" applyNumberFormat="1" applyFont="1" applyFill="1" applyBorder="1" applyAlignment="1">
      <alignment horizontal="center" vertical="center"/>
    </xf>
    <xf numFmtId="0" fontId="7" fillId="14" borderId="66" xfId="0" applyFont="1" applyFill="1" applyBorder="1" applyAlignment="1">
      <alignment vertical="center"/>
    </xf>
    <xf numFmtId="10" fontId="7" fillId="14" borderId="6" xfId="0" applyNumberFormat="1" applyFont="1" applyFill="1" applyBorder="1" applyAlignment="1">
      <alignment vertical="center"/>
    </xf>
    <xf numFmtId="0" fontId="7" fillId="14" borderId="67" xfId="0" applyFont="1" applyFill="1" applyBorder="1" applyAlignment="1">
      <alignment vertical="center"/>
    </xf>
    <xf numFmtId="2" fontId="7" fillId="14" borderId="66" xfId="0" applyNumberFormat="1" applyFont="1" applyFill="1" applyBorder="1" applyAlignment="1">
      <alignment vertical="center"/>
    </xf>
    <xf numFmtId="9" fontId="7" fillId="14" borderId="67" xfId="0" applyNumberFormat="1" applyFont="1" applyFill="1" applyBorder="1" applyAlignment="1">
      <alignment vertical="center"/>
    </xf>
    <xf numFmtId="2" fontId="7" fillId="14" borderId="68" xfId="0" applyNumberFormat="1" applyFont="1" applyFill="1" applyBorder="1" applyAlignment="1">
      <alignment vertical="center"/>
    </xf>
    <xf numFmtId="9" fontId="7" fillId="14" borderId="69" xfId="2" applyFont="1" applyFill="1" applyBorder="1" applyAlignment="1">
      <alignment vertical="center"/>
    </xf>
    <xf numFmtId="0" fontId="7" fillId="14" borderId="63" xfId="0" applyFont="1" applyFill="1" applyBorder="1" applyAlignment="1">
      <alignment vertical="center"/>
    </xf>
    <xf numFmtId="0" fontId="7" fillId="14" borderId="4" xfId="0" applyFont="1" applyFill="1" applyBorder="1" applyAlignment="1">
      <alignment vertical="center"/>
    </xf>
    <xf numFmtId="9" fontId="7" fillId="14" borderId="4" xfId="2" applyFont="1" applyFill="1" applyBorder="1" applyAlignment="1">
      <alignment vertical="center"/>
    </xf>
    <xf numFmtId="0" fontId="7" fillId="14" borderId="3" xfId="0" applyNumberFormat="1" applyFont="1" applyFill="1" applyBorder="1" applyAlignment="1">
      <alignment horizontal="center" vertical="center"/>
    </xf>
    <xf numFmtId="0" fontId="7" fillId="14" borderId="62" xfId="0" applyFont="1" applyFill="1" applyBorder="1" applyAlignment="1">
      <alignment vertical="center"/>
    </xf>
    <xf numFmtId="44" fontId="0" fillId="12" borderId="0" xfId="0" applyNumberFormat="1" applyFill="1"/>
    <xf numFmtId="7" fontId="4" fillId="12" borderId="0" xfId="2" applyNumberFormat="1" applyFont="1" applyFill="1" applyBorder="1" applyAlignment="1">
      <alignment vertical="center"/>
    </xf>
    <xf numFmtId="7" fontId="0" fillId="12" borderId="0" xfId="2" applyNumberFormat="1" applyFont="1" applyFill="1"/>
    <xf numFmtId="7" fontId="0" fillId="12" borderId="0" xfId="0" applyNumberFormat="1" applyFill="1"/>
    <xf numFmtId="7" fontId="0" fillId="0" borderId="0" xfId="0" applyNumberFormat="1"/>
    <xf numFmtId="9" fontId="5" fillId="0" borderId="0" xfId="2" applyFont="1" applyFill="1" applyBorder="1" applyAlignment="1">
      <alignment horizontal="right"/>
    </xf>
    <xf numFmtId="9" fontId="0" fillId="0" borderId="0" xfId="2" applyFont="1"/>
    <xf numFmtId="7" fontId="2" fillId="0" borderId="0" xfId="0" applyNumberFormat="1" applyFont="1"/>
    <xf numFmtId="44" fontId="4" fillId="7" borderId="71" xfId="0" applyNumberFormat="1" applyFont="1" applyFill="1" applyBorder="1" applyAlignment="1">
      <alignment horizontal="center" vertical="center"/>
    </xf>
    <xf numFmtId="14" fontId="0" fillId="0" borderId="0" xfId="0" applyNumberFormat="1" applyAlignment="1">
      <alignment horizontal="center" vertical="center"/>
    </xf>
    <xf numFmtId="44" fontId="0" fillId="0" borderId="0" xfId="4" applyFont="1" applyAlignment="1">
      <alignment horizontal="center" vertical="center"/>
    </xf>
    <xf numFmtId="44" fontId="0" fillId="11" borderId="0" xfId="4" applyFont="1" applyFill="1" applyBorder="1" applyAlignment="1">
      <alignment horizontal="center"/>
    </xf>
    <xf numFmtId="44" fontId="0" fillId="11" borderId="0" xfId="4" applyFont="1" applyFill="1" applyBorder="1" applyAlignment="1">
      <alignment horizontal="center" vertical="center"/>
    </xf>
    <xf numFmtId="44" fontId="2" fillId="11" borderId="0" xfId="4" applyFont="1" applyFill="1" applyBorder="1" applyAlignment="1">
      <alignment horizontal="right"/>
    </xf>
    <xf numFmtId="168" fontId="0" fillId="11" borderId="0" xfId="1" applyNumberFormat="1" applyFont="1" applyFill="1" applyBorder="1" applyAlignment="1">
      <alignment horizontal="right"/>
    </xf>
    <xf numFmtId="0" fontId="30" fillId="6" borderId="0" xfId="0" applyFont="1" applyFill="1"/>
    <xf numFmtId="166" fontId="21" fillId="6" borderId="0" xfId="0" applyNumberFormat="1" applyFont="1" applyFill="1" applyBorder="1" applyAlignment="1">
      <alignment vertical="center"/>
    </xf>
    <xf numFmtId="7" fontId="21" fillId="6" borderId="0" xfId="2" applyNumberFormat="1" applyFont="1" applyFill="1" applyBorder="1" applyAlignment="1">
      <alignment vertical="center"/>
    </xf>
    <xf numFmtId="44" fontId="4" fillId="12" borderId="0" xfId="0" applyNumberFormat="1" applyFont="1" applyFill="1" applyBorder="1" applyAlignment="1">
      <alignment horizontal="center" vertical="center"/>
    </xf>
    <xf numFmtId="0" fontId="4" fillId="13" borderId="6" xfId="0" applyFont="1" applyFill="1" applyBorder="1" applyAlignment="1">
      <alignment vertical="center"/>
    </xf>
    <xf numFmtId="0" fontId="4" fillId="13" borderId="0" xfId="0" applyFont="1" applyFill="1" applyBorder="1" applyAlignment="1">
      <alignment vertical="center"/>
    </xf>
    <xf numFmtId="0" fontId="31" fillId="9" borderId="6" xfId="0" applyFont="1" applyFill="1" applyBorder="1" applyAlignment="1">
      <alignment horizontal="center" vertical="center"/>
    </xf>
    <xf numFmtId="0" fontId="0" fillId="5" borderId="0" xfId="0" applyFill="1"/>
    <xf numFmtId="164" fontId="0" fillId="12" borderId="0" xfId="0" applyNumberFormat="1" applyFill="1" applyBorder="1" applyProtection="1">
      <protection locked="0"/>
    </xf>
    <xf numFmtId="0" fontId="0" fillId="12" borderId="0" xfId="0" applyFill="1" applyBorder="1" applyProtection="1">
      <protection locked="0"/>
    </xf>
    <xf numFmtId="0" fontId="0" fillId="12" borderId="0" xfId="0" applyFont="1" applyFill="1" applyBorder="1" applyAlignment="1" applyProtection="1">
      <alignment horizontal="center" vertical="center"/>
      <protection locked="0"/>
    </xf>
    <xf numFmtId="44" fontId="2" fillId="12" borderId="0" xfId="3" applyNumberFormat="1" applyFont="1" applyFill="1" applyBorder="1" applyAlignment="1" applyProtection="1">
      <alignment horizontal="right"/>
      <protection locked="0"/>
    </xf>
    <xf numFmtId="44" fontId="5" fillId="12" borderId="0" xfId="0" applyNumberFormat="1" applyFont="1" applyFill="1" applyBorder="1" applyAlignment="1" applyProtection="1">
      <alignment horizontal="right"/>
      <protection locked="0"/>
    </xf>
    <xf numFmtId="44" fontId="0" fillId="12" borderId="0" xfId="0" applyNumberFormat="1" applyFont="1" applyFill="1" applyBorder="1" applyAlignment="1" applyProtection="1">
      <alignment horizontal="right"/>
      <protection locked="0"/>
    </xf>
    <xf numFmtId="168" fontId="0" fillId="12" borderId="0" xfId="1" applyNumberFormat="1" applyFont="1" applyFill="1" applyBorder="1" applyAlignment="1" applyProtection="1">
      <alignment horizontal="right"/>
      <protection locked="0"/>
    </xf>
    <xf numFmtId="10" fontId="0" fillId="12" borderId="0" xfId="2" applyNumberFormat="1" applyFont="1" applyFill="1" applyBorder="1" applyProtection="1">
      <protection locked="0"/>
    </xf>
    <xf numFmtId="14" fontId="0" fillId="12" borderId="0" xfId="0" applyNumberFormat="1" applyFill="1" applyBorder="1" applyProtection="1">
      <protection locked="0"/>
    </xf>
    <xf numFmtId="0" fontId="0" fillId="5" borderId="0" xfId="0" applyFill="1" applyBorder="1"/>
    <xf numFmtId="44" fontId="0" fillId="12" borderId="0" xfId="0" applyNumberFormat="1" applyFill="1" applyBorder="1" applyProtection="1">
      <protection locked="0"/>
    </xf>
    <xf numFmtId="0" fontId="0" fillId="12" borderId="0" xfId="0" applyNumberFormat="1" applyFill="1" applyBorder="1" applyProtection="1">
      <protection locked="0"/>
    </xf>
    <xf numFmtId="14" fontId="2" fillId="12" borderId="0" xfId="0" applyNumberFormat="1" applyFont="1" applyFill="1" applyBorder="1" applyAlignment="1" applyProtection="1">
      <alignment horizontal="center"/>
      <protection locked="0"/>
    </xf>
    <xf numFmtId="0" fontId="2" fillId="12" borderId="0" xfId="0" applyFont="1" applyFill="1" applyBorder="1" applyAlignment="1" applyProtection="1">
      <alignment horizontal="center" vertical="center"/>
      <protection locked="0"/>
    </xf>
    <xf numFmtId="44" fontId="0" fillId="12" borderId="0" xfId="0" applyNumberFormat="1" applyFill="1" applyBorder="1" applyAlignment="1" applyProtection="1">
      <alignment horizontal="right"/>
      <protection locked="0"/>
    </xf>
    <xf numFmtId="0" fontId="15" fillId="0" borderId="0" xfId="0" applyFont="1" applyBorder="1" applyAlignment="1">
      <alignment horizontal="center" vertical="center"/>
    </xf>
    <xf numFmtId="166" fontId="15" fillId="0" borderId="0" xfId="0" applyNumberFormat="1" applyFont="1" applyBorder="1" applyAlignment="1">
      <alignment horizontal="center" vertical="center"/>
    </xf>
    <xf numFmtId="167" fontId="15" fillId="0" borderId="0" xfId="0" applyNumberFormat="1" applyFont="1" applyBorder="1" applyAlignment="1">
      <alignment horizontal="center" vertical="center"/>
    </xf>
    <xf numFmtId="44" fontId="15" fillId="0" borderId="0" xfId="0" applyNumberFormat="1" applyFont="1" applyBorder="1" applyAlignment="1">
      <alignment horizontal="center" vertical="center"/>
    </xf>
    <xf numFmtId="0" fontId="8" fillId="0" borderId="0" xfId="0" applyNumberFormat="1" applyFont="1" applyBorder="1" applyAlignment="1">
      <alignment horizontal="center" vertical="center"/>
    </xf>
    <xf numFmtId="167" fontId="28" fillId="0" borderId="0" xfId="0" applyNumberFormat="1" applyFont="1" applyBorder="1" applyAlignment="1">
      <alignment horizontal="center" vertical="center"/>
    </xf>
    <xf numFmtId="44" fontId="16" fillId="0" borderId="0" xfId="0" applyNumberFormat="1" applyFont="1" applyBorder="1" applyAlignment="1">
      <alignment vertical="center"/>
    </xf>
    <xf numFmtId="0" fontId="7" fillId="6" borderId="0" xfId="0" applyFont="1" applyFill="1" applyBorder="1" applyAlignment="1">
      <alignment vertical="center"/>
    </xf>
    <xf numFmtId="166" fontId="10" fillId="6" borderId="0" xfId="0" applyNumberFormat="1" applyFont="1" applyFill="1" applyBorder="1" applyAlignment="1">
      <alignment vertical="center"/>
    </xf>
    <xf numFmtId="167" fontId="17" fillId="6" borderId="0" xfId="0" applyNumberFormat="1" applyFont="1" applyFill="1" applyBorder="1" applyAlignment="1">
      <alignment horizontal="center" vertical="center"/>
    </xf>
    <xf numFmtId="44" fontId="14" fillId="10" borderId="6" xfId="0" applyNumberFormat="1" applyFont="1" applyFill="1" applyBorder="1" applyAlignment="1">
      <alignment horizontal="right" vertical="center"/>
    </xf>
    <xf numFmtId="0" fontId="14" fillId="13" borderId="0" xfId="0" applyFont="1" applyFill="1" applyBorder="1" applyAlignment="1">
      <alignment horizontal="center" vertical="center"/>
    </xf>
    <xf numFmtId="0" fontId="4" fillId="7" borderId="0" xfId="0" applyNumberFormat="1" applyFont="1" applyFill="1" applyBorder="1" applyAlignment="1" applyProtection="1">
      <alignment horizontal="left" vertical="center"/>
    </xf>
    <xf numFmtId="14" fontId="4" fillId="7" borderId="0" xfId="0" applyNumberFormat="1" applyFont="1" applyFill="1" applyBorder="1" applyAlignment="1" applyProtection="1">
      <alignment horizontal="left" vertical="center"/>
    </xf>
    <xf numFmtId="0" fontId="0" fillId="0" borderId="0" xfId="0" applyFill="1"/>
    <xf numFmtId="169" fontId="4" fillId="0" borderId="0" xfId="0" applyNumberFormat="1" applyFont="1" applyFill="1" applyBorder="1" applyAlignment="1">
      <alignment horizontal="center" vertical="center"/>
    </xf>
    <xf numFmtId="169" fontId="0" fillId="0" borderId="0" xfId="1" applyNumberFormat="1" applyFont="1" applyFill="1" applyBorder="1" applyAlignment="1">
      <alignment horizontal="right"/>
    </xf>
    <xf numFmtId="169" fontId="0" fillId="0" borderId="0" xfId="0" applyNumberFormat="1" applyFill="1"/>
    <xf numFmtId="44" fontId="0" fillId="0" borderId="0" xfId="0" applyNumberFormat="1" applyFill="1"/>
    <xf numFmtId="169" fontId="32" fillId="0" borderId="0" xfId="0" applyNumberFormat="1" applyFont="1" applyFill="1" applyBorder="1"/>
    <xf numFmtId="44" fontId="12" fillId="0" borderId="0" xfId="0" applyNumberFormat="1" applyFont="1" applyFill="1" applyBorder="1" applyAlignment="1">
      <alignment horizontal="right"/>
    </xf>
    <xf numFmtId="0" fontId="13" fillId="0" borderId="0" xfId="0" applyFont="1" applyFill="1" applyBorder="1"/>
    <xf numFmtId="44" fontId="16" fillId="12" borderId="0" xfId="0" applyNumberFormat="1" applyFont="1" applyFill="1" applyBorder="1" applyAlignment="1">
      <alignment horizontal="right" vertical="center"/>
    </xf>
    <xf numFmtId="0" fontId="23" fillId="13" borderId="0" xfId="0" applyNumberFormat="1" applyFont="1" applyFill="1" applyBorder="1" applyAlignment="1">
      <alignment horizontal="center" vertical="center"/>
    </xf>
    <xf numFmtId="0" fontId="0" fillId="12" borderId="0" xfId="0" applyNumberFormat="1" applyFill="1" applyBorder="1"/>
    <xf numFmtId="44" fontId="33" fillId="7" borderId="0" xfId="0" applyNumberFormat="1" applyFont="1" applyFill="1" applyAlignment="1">
      <alignment horizontal="right" vertical="center"/>
    </xf>
    <xf numFmtId="2" fontId="4" fillId="8" borderId="4" xfId="4" applyNumberFormat="1" applyFont="1" applyFill="1" applyBorder="1" applyAlignment="1">
      <alignment vertical="center"/>
    </xf>
    <xf numFmtId="44" fontId="10" fillId="0" borderId="0" xfId="0" applyNumberFormat="1" applyFont="1" applyBorder="1" applyAlignment="1">
      <alignment vertical="center"/>
    </xf>
    <xf numFmtId="166" fontId="10" fillId="0" borderId="16" xfId="0" applyNumberFormat="1" applyFont="1" applyBorder="1" applyAlignment="1">
      <alignment vertical="center"/>
    </xf>
    <xf numFmtId="0" fontId="0" fillId="15" borderId="0" xfId="0" applyFill="1" applyProtection="1"/>
    <xf numFmtId="0" fontId="0" fillId="15" borderId="0" xfId="0" applyFill="1" applyBorder="1" applyProtection="1"/>
    <xf numFmtId="0" fontId="27" fillId="15" borderId="0" xfId="0" applyFont="1" applyFill="1" applyBorder="1" applyAlignment="1" applyProtection="1"/>
    <xf numFmtId="0" fontId="29" fillId="15" borderId="0" xfId="0" applyFont="1" applyFill="1" applyProtection="1"/>
    <xf numFmtId="0" fontId="26" fillId="15" borderId="0" xfId="0" applyFont="1" applyFill="1" applyBorder="1" applyProtection="1"/>
    <xf numFmtId="0" fontId="8" fillId="0" borderId="0" xfId="0" applyFont="1" applyFill="1"/>
    <xf numFmtId="0" fontId="8" fillId="12" borderId="0" xfId="0" applyNumberFormat="1" applyFont="1" applyFill="1"/>
    <xf numFmtId="44" fontId="8" fillId="0" borderId="16" xfId="4" applyFont="1" applyFill="1" applyBorder="1" applyAlignment="1">
      <alignment vertical="center"/>
    </xf>
    <xf numFmtId="0" fontId="14" fillId="13" borderId="6" xfId="0" applyFont="1" applyFill="1" applyBorder="1" applyAlignment="1">
      <alignment horizontal="center" vertical="center"/>
    </xf>
    <xf numFmtId="44" fontId="23" fillId="13" borderId="6" xfId="0" applyNumberFormat="1" applyFont="1" applyFill="1" applyBorder="1" applyAlignment="1">
      <alignment horizontal="center" vertical="center"/>
    </xf>
    <xf numFmtId="44" fontId="33" fillId="12" borderId="0" xfId="0" applyNumberFormat="1" applyFont="1" applyFill="1" applyAlignment="1">
      <alignment horizontal="right" vertical="center"/>
    </xf>
    <xf numFmtId="44" fontId="14" fillId="13" borderId="6" xfId="0" applyNumberFormat="1" applyFont="1" applyFill="1" applyBorder="1" applyAlignment="1">
      <alignment horizontal="center" vertical="center"/>
    </xf>
    <xf numFmtId="44" fontId="14" fillId="13" borderId="6" xfId="0" applyNumberFormat="1" applyFont="1" applyFill="1" applyBorder="1" applyAlignment="1">
      <alignment horizontal="right" vertical="center"/>
    </xf>
    <xf numFmtId="10" fontId="16" fillId="12" borderId="0" xfId="0" applyNumberFormat="1" applyFont="1" applyFill="1" applyAlignment="1">
      <alignment horizontal="right" vertical="center"/>
    </xf>
    <xf numFmtId="0" fontId="8" fillId="12" borderId="2" xfId="0" applyNumberFormat="1" applyFont="1" applyFill="1" applyBorder="1" applyAlignment="1">
      <alignment vertical="center"/>
    </xf>
    <xf numFmtId="0" fontId="8" fillId="17" borderId="4" xfId="2" applyNumberFormat="1" applyFont="1" applyFill="1" applyBorder="1" applyAlignment="1">
      <alignment vertical="center"/>
    </xf>
    <xf numFmtId="0" fontId="8" fillId="18" borderId="4" xfId="2" applyNumberFormat="1" applyFont="1" applyFill="1" applyBorder="1" applyAlignment="1">
      <alignment vertical="center"/>
    </xf>
    <xf numFmtId="44" fontId="8" fillId="0" borderId="16" xfId="4" applyNumberFormat="1" applyFont="1" applyFill="1" applyBorder="1" applyAlignment="1">
      <alignment vertical="center"/>
    </xf>
    <xf numFmtId="10" fontId="8" fillId="0" borderId="16" xfId="2" applyNumberFormat="1" applyFont="1" applyFill="1" applyBorder="1" applyAlignment="1">
      <alignment vertical="center"/>
    </xf>
    <xf numFmtId="14" fontId="4" fillId="7" borderId="71" xfId="0" applyNumberFormat="1" applyFont="1" applyFill="1" applyBorder="1" applyAlignment="1">
      <alignment horizontal="right" vertical="center"/>
    </xf>
    <xf numFmtId="44" fontId="4" fillId="7" borderId="71" xfId="4" applyFont="1" applyFill="1" applyBorder="1" applyAlignment="1">
      <alignment horizontal="right" vertical="center"/>
    </xf>
    <xf numFmtId="9" fontId="4" fillId="7" borderId="71" xfId="2" applyFont="1" applyFill="1" applyBorder="1" applyAlignment="1">
      <alignment horizontal="right" vertical="center"/>
    </xf>
    <xf numFmtId="0" fontId="0" fillId="0" borderId="0" xfId="0" applyAlignment="1">
      <alignment horizontal="right" vertical="center"/>
    </xf>
    <xf numFmtId="44" fontId="0" fillId="0" borderId="0" xfId="4" applyFont="1" applyAlignment="1">
      <alignment horizontal="right" vertical="center"/>
    </xf>
    <xf numFmtId="9" fontId="0" fillId="0" borderId="0" xfId="2" applyFont="1" applyAlignment="1">
      <alignment horizontal="right" vertical="center"/>
    </xf>
    <xf numFmtId="44" fontId="0" fillId="0" borderId="0" xfId="4" applyNumberFormat="1" applyFont="1" applyAlignment="1">
      <alignment horizontal="right" vertical="center"/>
    </xf>
    <xf numFmtId="0" fontId="7" fillId="12" borderId="4" xfId="0" applyFont="1" applyFill="1" applyBorder="1" applyAlignment="1">
      <alignment vertical="center"/>
    </xf>
    <xf numFmtId="44" fontId="8" fillId="12" borderId="16" xfId="4" applyFont="1" applyFill="1" applyBorder="1" applyAlignment="1">
      <alignment vertical="center"/>
    </xf>
    <xf numFmtId="166" fontId="34" fillId="12" borderId="16" xfId="4" applyNumberFormat="1" applyFont="1" applyFill="1" applyBorder="1" applyAlignment="1">
      <alignment vertical="center"/>
    </xf>
    <xf numFmtId="44" fontId="8" fillId="12" borderId="16" xfId="4" applyNumberFormat="1" applyFont="1" applyFill="1" applyBorder="1" applyAlignment="1">
      <alignment vertical="center"/>
    </xf>
    <xf numFmtId="10" fontId="8" fillId="12" borderId="16" xfId="2" applyNumberFormat="1" applyFont="1" applyFill="1" applyBorder="1" applyAlignment="1">
      <alignment vertical="center"/>
    </xf>
    <xf numFmtId="0" fontId="8" fillId="12" borderId="0" xfId="0" applyFont="1" applyFill="1"/>
    <xf numFmtId="0" fontId="8" fillId="18" borderId="5" xfId="0" applyNumberFormat="1" applyFont="1" applyFill="1" applyBorder="1"/>
    <xf numFmtId="44" fontId="8" fillId="18" borderId="4" xfId="4" applyNumberFormat="1" applyFont="1" applyFill="1" applyBorder="1" applyAlignment="1">
      <alignment vertical="center"/>
    </xf>
    <xf numFmtId="166" fontId="34" fillId="18" borderId="4" xfId="4" applyNumberFormat="1" applyFont="1" applyFill="1" applyBorder="1" applyAlignment="1">
      <alignment vertical="center"/>
    </xf>
    <xf numFmtId="10" fontId="8" fillId="18" borderId="3" xfId="2" applyNumberFormat="1" applyFont="1" applyFill="1" applyBorder="1" applyAlignment="1">
      <alignment vertical="center"/>
    </xf>
    <xf numFmtId="44" fontId="35" fillId="6" borderId="0" xfId="0" applyNumberFormat="1" applyFont="1" applyFill="1" applyBorder="1" applyAlignment="1">
      <alignment vertical="center"/>
    </xf>
    <xf numFmtId="10" fontId="12" fillId="11" borderId="0" xfId="2" applyNumberFormat="1" applyFont="1" applyFill="1" applyBorder="1" applyAlignment="1">
      <alignment horizontal="right"/>
    </xf>
    <xf numFmtId="0" fontId="7" fillId="19" borderId="4" xfId="0" applyFont="1" applyFill="1" applyBorder="1" applyAlignment="1">
      <alignment vertical="center"/>
    </xf>
    <xf numFmtId="0" fontId="7" fillId="20" borderId="4" xfId="0" applyFont="1" applyFill="1" applyBorder="1" applyAlignment="1">
      <alignment vertical="center"/>
    </xf>
    <xf numFmtId="0" fontId="7" fillId="6" borderId="4" xfId="0" applyFont="1" applyFill="1" applyBorder="1" applyAlignment="1">
      <alignment vertical="center"/>
    </xf>
    <xf numFmtId="44" fontId="14" fillId="21" borderId="6" xfId="0" applyNumberFormat="1" applyFont="1" applyFill="1" applyBorder="1" applyAlignment="1">
      <alignment horizontal="center" vertical="center"/>
    </xf>
    <xf numFmtId="14" fontId="31" fillId="7" borderId="71" xfId="0" applyNumberFormat="1" applyFont="1" applyFill="1" applyBorder="1" applyAlignment="1">
      <alignment horizontal="center" vertical="center"/>
    </xf>
    <xf numFmtId="14" fontId="31" fillId="22" borderId="71" xfId="0" applyNumberFormat="1" applyFont="1" applyFill="1" applyBorder="1" applyAlignment="1">
      <alignment horizontal="center" vertical="center"/>
    </xf>
    <xf numFmtId="14" fontId="31" fillId="23" borderId="71" xfId="0" applyNumberFormat="1" applyFont="1" applyFill="1" applyBorder="1" applyAlignment="1">
      <alignment horizontal="center" vertical="center"/>
    </xf>
    <xf numFmtId="9" fontId="16" fillId="0" borderId="0" xfId="0" applyNumberFormat="1" applyFont="1" applyFill="1" applyAlignment="1">
      <alignment horizontal="right" vertical="center"/>
    </xf>
    <xf numFmtId="14" fontId="0" fillId="0" borderId="0" xfId="4" applyNumberFormat="1" applyFont="1" applyAlignment="1">
      <alignment horizontal="right" vertical="center"/>
    </xf>
    <xf numFmtId="0" fontId="5" fillId="6" borderId="75" xfId="0" applyNumberFormat="1" applyFont="1" applyFill="1" applyBorder="1" applyProtection="1"/>
    <xf numFmtId="14" fontId="5" fillId="6" borderId="75" xfId="0" applyNumberFormat="1" applyFont="1" applyFill="1" applyBorder="1" applyAlignment="1" applyProtection="1">
      <alignment horizontal="center"/>
    </xf>
    <xf numFmtId="0" fontId="0" fillId="6" borderId="75" xfId="0" applyFill="1" applyBorder="1" applyAlignment="1" applyProtection="1">
      <alignment horizontal="center" vertical="center"/>
      <protection locked="0"/>
    </xf>
    <xf numFmtId="44" fontId="2" fillId="6" borderId="75" xfId="0" applyNumberFormat="1" applyFont="1" applyFill="1" applyBorder="1" applyAlignment="1" applyProtection="1">
      <alignment horizontal="right"/>
      <protection locked="0"/>
    </xf>
    <xf numFmtId="7" fontId="4" fillId="12" borderId="4" xfId="0" applyNumberFormat="1" applyFont="1" applyFill="1" applyBorder="1" applyAlignment="1">
      <alignment vertical="center"/>
    </xf>
    <xf numFmtId="0" fontId="0" fillId="12" borderId="4" xfId="0" applyFill="1" applyBorder="1"/>
    <xf numFmtId="0" fontId="36" fillId="0" borderId="0" xfId="0" applyNumberFormat="1" applyFont="1" applyFill="1"/>
    <xf numFmtId="44" fontId="36" fillId="0" borderId="2" xfId="4" applyFont="1" applyFill="1" applyBorder="1" applyAlignment="1">
      <alignment vertical="center"/>
    </xf>
    <xf numFmtId="44" fontId="36" fillId="0" borderId="2" xfId="4" applyNumberFormat="1" applyFont="1" applyFill="1" applyBorder="1" applyAlignment="1">
      <alignment vertical="center"/>
    </xf>
    <xf numFmtId="10" fontId="36" fillId="0" borderId="2" xfId="2" applyNumberFormat="1" applyFont="1" applyFill="1" applyBorder="1" applyAlignment="1">
      <alignment vertical="center"/>
    </xf>
    <xf numFmtId="44" fontId="34" fillId="0" borderId="16" xfId="4" applyNumberFormat="1" applyFont="1" applyFill="1" applyBorder="1" applyAlignment="1">
      <alignment vertical="center"/>
    </xf>
    <xf numFmtId="44" fontId="8" fillId="0" borderId="17" xfId="4" applyFont="1" applyFill="1" applyBorder="1" applyAlignment="1">
      <alignment vertical="center"/>
    </xf>
    <xf numFmtId="0" fontId="0" fillId="16" borderId="5" xfId="0" applyNumberFormat="1" applyFont="1" applyFill="1" applyBorder="1" applyAlignment="1">
      <alignment horizontal="center"/>
    </xf>
    <xf numFmtId="14" fontId="0" fillId="11" borderId="4" xfId="0" applyNumberFormat="1" applyFont="1" applyFill="1" applyBorder="1" applyAlignment="1">
      <alignment horizontal="center"/>
    </xf>
    <xf numFmtId="44" fontId="37" fillId="0" borderId="2" xfId="4" applyNumberFormat="1" applyFont="1" applyFill="1" applyBorder="1" applyAlignment="1">
      <alignment vertical="center"/>
    </xf>
    <xf numFmtId="44" fontId="36" fillId="0" borderId="0" xfId="4" applyFont="1" applyFill="1" applyBorder="1" applyAlignment="1">
      <alignment vertical="center"/>
    </xf>
    <xf numFmtId="0" fontId="0" fillId="11" borderId="4" xfId="0" applyFont="1" applyFill="1" applyBorder="1" applyAlignment="1">
      <alignment horizontal="center" vertical="center"/>
    </xf>
    <xf numFmtId="44" fontId="2" fillId="11" borderId="1" xfId="3" applyNumberFormat="1" applyFont="1" applyFill="1" applyBorder="1" applyAlignment="1">
      <alignment horizontal="right"/>
    </xf>
    <xf numFmtId="44" fontId="5" fillId="11" borderId="4" xfId="0" applyNumberFormat="1" applyFont="1" applyFill="1" applyBorder="1" applyAlignment="1">
      <alignment horizontal="right"/>
    </xf>
    <xf numFmtId="44" fontId="0" fillId="11" borderId="4" xfId="0" applyNumberFormat="1" applyFont="1" applyFill="1" applyBorder="1" applyAlignment="1">
      <alignment horizontal="right"/>
    </xf>
    <xf numFmtId="168" fontId="0" fillId="11" borderId="4" xfId="1" applyNumberFormat="1" applyFont="1" applyFill="1" applyBorder="1" applyAlignment="1">
      <alignment horizontal="right"/>
    </xf>
    <xf numFmtId="10" fontId="0" fillId="11" borderId="3" xfId="2" applyNumberFormat="1" applyFont="1" applyFill="1" applyBorder="1"/>
    <xf numFmtId="0" fontId="8" fillId="0" borderId="76" xfId="0" applyNumberFormat="1" applyFont="1" applyBorder="1" applyAlignment="1">
      <alignment vertical="center"/>
    </xf>
    <xf numFmtId="0" fontId="7" fillId="0" borderId="2" xfId="0" applyNumberFormat="1" applyFont="1" applyBorder="1" applyAlignment="1">
      <alignment horizontal="center" vertical="center"/>
    </xf>
    <xf numFmtId="167" fontId="7" fillId="0" borderId="70" xfId="0" applyNumberFormat="1" applyFont="1" applyBorder="1" applyAlignment="1">
      <alignment vertical="center"/>
    </xf>
    <xf numFmtId="44" fontId="8" fillId="0" borderId="76" xfId="0" applyNumberFormat="1" applyFont="1" applyBorder="1" applyAlignment="1">
      <alignment vertical="center"/>
    </xf>
    <xf numFmtId="166" fontId="10" fillId="0" borderId="2" xfId="0" applyNumberFormat="1" applyFont="1" applyBorder="1" applyAlignment="1">
      <alignment vertical="center"/>
    </xf>
    <xf numFmtId="10" fontId="7" fillId="0" borderId="77" xfId="2" applyNumberFormat="1" applyFont="1" applyBorder="1" applyAlignment="1">
      <alignment vertical="center"/>
    </xf>
    <xf numFmtId="10" fontId="7" fillId="0" borderId="0" xfId="2" applyNumberFormat="1" applyFont="1" applyBorder="1" applyAlignment="1">
      <alignment vertical="center"/>
    </xf>
    <xf numFmtId="10" fontId="7" fillId="0" borderId="78" xfId="2" applyNumberFormat="1" applyFont="1" applyBorder="1" applyAlignment="1">
      <alignment vertical="center"/>
    </xf>
    <xf numFmtId="44" fontId="7" fillId="0" borderId="0" xfId="4" applyNumberFormat="1" applyFont="1" applyBorder="1" applyAlignment="1">
      <alignment vertical="center"/>
    </xf>
    <xf numFmtId="44" fontId="7" fillId="0" borderId="79" xfId="2" applyNumberFormat="1" applyFont="1" applyBorder="1" applyAlignment="1">
      <alignment vertical="center"/>
    </xf>
    <xf numFmtId="0" fontId="27" fillId="15" borderId="72" xfId="0" applyFont="1" applyFill="1" applyBorder="1" applyAlignment="1" applyProtection="1">
      <alignment horizontal="center"/>
    </xf>
    <xf numFmtId="0" fontId="27" fillId="15" borderId="73" xfId="0" applyFont="1" applyFill="1" applyBorder="1" applyAlignment="1" applyProtection="1">
      <alignment horizontal="center"/>
    </xf>
    <xf numFmtId="0" fontId="27" fillId="15" borderId="74" xfId="0" applyFont="1" applyFill="1" applyBorder="1" applyAlignment="1" applyProtection="1">
      <alignment horizontal="center"/>
    </xf>
    <xf numFmtId="7" fontId="0" fillId="0" borderId="0" xfId="4" applyNumberFormat="1" applyFont="1" applyAlignment="1">
      <alignment horizontal="right" vertical="center"/>
    </xf>
    <xf numFmtId="14" fontId="4" fillId="7" borderId="71" xfId="0" applyNumberFormat="1" applyFont="1" applyFill="1" applyBorder="1" applyAlignment="1">
      <alignment horizontal="center" vertical="center"/>
    </xf>
  </cellXfs>
  <cellStyles count="5">
    <cellStyle name="Comma" xfId="1" builtinId="3"/>
    <cellStyle name="Currency" xfId="4" builtinId="4"/>
    <cellStyle name="Normal" xfId="0" builtinId="0"/>
    <cellStyle name="Note" xfId="3" builtinId="10"/>
    <cellStyle name="Percent" xfId="2" builtinId="5"/>
  </cellStyles>
  <dxfs count="686">
    <dxf>
      <font>
        <b val="0"/>
        <i val="0"/>
        <strike val="0"/>
        <condense val="0"/>
        <extend val="0"/>
        <outline val="0"/>
        <shadow val="0"/>
        <u val="none"/>
        <vertAlign val="baseline"/>
        <sz val="11"/>
        <color auto="1"/>
        <name val="Calibri"/>
        <family val="2"/>
        <scheme val="minor"/>
      </font>
      <numFmt numFmtId="34" formatCode="_-* #,##0.00\ &quot;€&quot;_-;\-* #,##0.00\ &quot;€&quot;_-;_-* &quot;-&quot;??\ &quot;€&quot;_-;_-@_-"/>
      <fill>
        <patternFill patternType="solid">
          <fgColor indexed="64"/>
          <bgColor theme="9" tint="0.59999389629810485"/>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9" formatCode="0.000000"/>
      <fill>
        <patternFill patternType="solid">
          <fgColor indexed="64"/>
          <bgColor theme="9" tint="0.59999389629810485"/>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4" formatCode="_-* #,##0.00\ &quot;€&quot;_-;\-* #,##0.00\ &quot;€&quot;_-;_-* &quot;-&quot;??\ &quot;€&quot;_-;_-@_-"/>
      <fill>
        <patternFill patternType="solid">
          <fgColor indexed="64"/>
          <bgColor theme="9" tint="0.59999389629810485"/>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4" formatCode="_-* #,##0.00\ &quot;€&quot;_-;\-* #,##0.00\ &quot;€&quot;_-;_-* &quot;-&quot;??\ &quot;€&quot;_-;_-@_-"/>
      <fill>
        <patternFill patternType="solid">
          <fgColor indexed="64"/>
          <bgColor theme="9" tint="0.59999389629810485"/>
        </patternFill>
      </fill>
      <alignment horizontal="right" vertical="bottom" textRotation="0" wrapText="0" indent="0" justifyLastLine="0" shrinkToFit="0" readingOrder="0"/>
      <border diagonalUp="0" diagonalDown="0">
        <left style="thin">
          <color rgb="FFB2B2B2"/>
        </left>
        <right/>
        <top/>
        <bottom/>
        <vertical/>
        <horizontal/>
      </border>
    </dxf>
    <dxf>
      <font>
        <b val="0"/>
        <i val="0"/>
        <strike val="0"/>
        <condense val="0"/>
        <extend val="0"/>
        <outline val="0"/>
        <shadow val="0"/>
        <u val="none"/>
        <vertAlign val="baseline"/>
        <sz val="11"/>
        <color auto="1"/>
        <name val="Calibri"/>
        <family val="2"/>
        <scheme val="minor"/>
      </font>
      <numFmt numFmtId="34" formatCode="_-* #,##0.00\ &quot;€&quot;_-;\-* #,##0.00\ &quot;€&quot;_-;_-* &quot;-&quot;??\ &quot;€&quot;_-;_-@_-"/>
      <fill>
        <patternFill patternType="solid">
          <fgColor indexed="64"/>
          <bgColor theme="9" tint="0.59999389629810485"/>
        </patternFill>
      </fill>
      <alignment horizontal="right" vertical="bottom" textRotation="0" wrapText="0" indent="0" justifyLastLine="0" shrinkToFit="0" readingOrder="0"/>
      <border diagonalUp="0" diagonalDown="0">
        <left style="thin">
          <color rgb="FFB2B2B2"/>
        </left>
        <right style="thin">
          <color rgb="FFB2B2B2"/>
        </right>
        <top/>
        <bottom style="thin">
          <color rgb="FFB2B2B2"/>
        </bottom>
        <vertical/>
        <horizontal/>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9" formatCode="d/m/yyyy"/>
      <fill>
        <patternFill patternType="solid">
          <fgColor indexed="64"/>
          <bgColor theme="9"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19" formatCode="d/m/yyyy"/>
      <fill>
        <patternFill patternType="solid">
          <fgColor indexed="64"/>
          <bgColor theme="8" tint="-0.499984740745262"/>
        </patternFill>
      </fill>
    </dxf>
    <dxf>
      <font>
        <b val="0"/>
        <i val="0"/>
        <strike val="0"/>
        <condense val="0"/>
        <extend val="0"/>
        <outline val="0"/>
        <shadow val="0"/>
        <u val="none"/>
        <vertAlign val="baseline"/>
        <sz val="12"/>
        <color auto="1"/>
        <name val="Calibri"/>
        <family val="2"/>
        <scheme val="minor"/>
      </font>
      <fill>
        <patternFill patternType="solid">
          <fgColor indexed="64"/>
          <bgColor theme="8" tint="-0.499984740745262"/>
        </patternFill>
      </fill>
    </dxf>
    <dxf>
      <font>
        <b val="0"/>
        <i val="0"/>
        <strike val="0"/>
        <condense val="0"/>
        <extend val="0"/>
        <outline val="0"/>
        <shadow val="0"/>
        <u val="none"/>
        <vertAlign val="baseline"/>
        <sz val="12"/>
        <color auto="1"/>
        <name val="Calibri"/>
        <family val="2"/>
        <scheme val="minor"/>
      </font>
      <fill>
        <patternFill patternType="solid">
          <fgColor indexed="64"/>
          <bgColor theme="8" tint="-0.499984740745262"/>
        </patternFill>
      </fill>
    </dxf>
    <dxf>
      <font>
        <b val="0"/>
        <i val="0"/>
        <strike val="0"/>
        <condense val="0"/>
        <extend val="0"/>
        <outline val="0"/>
        <shadow val="0"/>
        <u val="none"/>
        <vertAlign val="baseline"/>
        <sz val="12"/>
        <color auto="1"/>
        <name val="Calibri"/>
        <family val="2"/>
        <scheme val="minor"/>
      </font>
      <fill>
        <patternFill patternType="solid">
          <fgColor indexed="64"/>
          <bgColor theme="8" tint="-0.499984740745262"/>
        </patternFill>
      </fill>
    </dxf>
    <dxf>
      <font>
        <b val="0"/>
        <i val="0"/>
        <strike val="0"/>
        <condense val="0"/>
        <extend val="0"/>
        <outline val="0"/>
        <shadow val="0"/>
        <u val="none"/>
        <vertAlign val="baseline"/>
        <sz val="12"/>
        <color auto="1"/>
        <name val="Calibri"/>
        <family val="2"/>
        <scheme val="minor"/>
      </font>
      <fill>
        <patternFill patternType="solid">
          <fgColor indexed="64"/>
          <bgColor theme="8" tint="-0.499984740745262"/>
        </patternFill>
      </fill>
    </dxf>
    <dxf>
      <font>
        <b val="0"/>
        <i val="0"/>
        <strike val="0"/>
        <condense val="0"/>
        <extend val="0"/>
        <outline val="0"/>
        <shadow val="0"/>
        <u val="none"/>
        <vertAlign val="baseline"/>
        <sz val="12"/>
        <color auto="1"/>
        <name val="Calibri"/>
        <family val="2"/>
        <scheme val="minor"/>
      </font>
      <fill>
        <patternFill patternType="solid">
          <fgColor indexed="64"/>
          <bgColor theme="8" tint="-0.499984740745262"/>
        </patternFill>
      </fill>
    </dxf>
    <dxf>
      <font>
        <b val="0"/>
        <i val="0"/>
        <strike val="0"/>
        <condense val="0"/>
        <extend val="0"/>
        <outline val="0"/>
        <shadow val="0"/>
        <u val="none"/>
        <vertAlign val="baseline"/>
        <sz val="12"/>
        <color auto="1"/>
        <name val="Calibri"/>
        <family val="2"/>
        <scheme val="minor"/>
      </font>
      <numFmt numFmtId="169" formatCode="0.000000"/>
      <fill>
        <patternFill patternType="solid">
          <fgColor indexed="64"/>
          <bgColor theme="8" tint="-0.499984740745262"/>
        </patternFill>
      </fill>
    </dxf>
    <dxf>
      <font>
        <b val="0"/>
        <i val="0"/>
        <strike val="0"/>
        <condense val="0"/>
        <extend val="0"/>
        <outline val="0"/>
        <shadow val="0"/>
        <u val="none"/>
        <vertAlign val="baseline"/>
        <sz val="12"/>
        <color auto="1"/>
        <name val="Calibri"/>
        <family val="2"/>
        <scheme val="minor"/>
      </font>
      <fill>
        <patternFill patternType="solid">
          <fgColor indexed="64"/>
          <bgColor theme="8" tint="-0.499984740745262"/>
        </patternFill>
      </fill>
    </dxf>
    <dxf>
      <font>
        <b val="0"/>
        <i val="0"/>
        <strike val="0"/>
        <condense val="0"/>
        <extend val="0"/>
        <outline val="0"/>
        <shadow val="0"/>
        <u val="none"/>
        <vertAlign val="baseline"/>
        <sz val="11"/>
        <color theme="1"/>
        <name val="Calibri"/>
        <family val="2"/>
        <charset val="238"/>
        <scheme val="minor"/>
      </font>
      <numFmt numFmtId="34" formatCode="_-* #,##0.00\ &quot;€&quot;_-;\-* #,##0.00\ &quot;€&quot;_-;_-* &quot;-&quot;??\ &quot;€&quot;_-;_-@_-"/>
      <fill>
        <patternFill patternType="solid">
          <fgColor indexed="64"/>
          <bgColor theme="9" tint="0.5999938962981048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charset val="238"/>
        <scheme val="minor"/>
      </font>
      <numFmt numFmtId="169" formatCode="0.000000"/>
      <fill>
        <patternFill patternType="solid">
          <fgColor indexed="64"/>
          <bgColor theme="9" tint="0.5999938962981048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charset val="238"/>
        <scheme val="minor"/>
      </font>
      <numFmt numFmtId="34" formatCode="_-* #,##0.00\ &quot;€&quot;_-;\-* #,##0.00\ &quot;€&quot;_-;_-* &quot;-&quot;??\ &quot;€&quot;_-;_-@_-"/>
      <fill>
        <patternFill patternType="solid">
          <fgColor indexed="64"/>
          <bgColor theme="9" tint="0.59999389629810485"/>
        </patternFill>
      </fill>
      <alignment horizontal="right" vertical="bottom" textRotation="0" wrapText="0" indent="0" justifyLastLine="0" shrinkToFit="0" readingOrder="0"/>
    </dxf>
    <dxf>
      <font>
        <b val="0"/>
        <i val="0"/>
        <strike val="0"/>
        <condense val="0"/>
        <extend val="0"/>
        <outline val="0"/>
        <shadow val="0"/>
        <u val="none"/>
        <vertAlign val="baseline"/>
        <sz val="11"/>
        <color rgb="FFFF0000"/>
        <name val="Calibri"/>
        <family val="2"/>
        <charset val="238"/>
        <scheme val="minor"/>
      </font>
      <numFmt numFmtId="34" formatCode="_-* #,##0.00\ &quot;€&quot;_-;\-* #,##0.00\ &quot;€&quot;_-;_-* &quot;-&quot;??\ &quot;€&quot;_-;_-@_-"/>
      <fill>
        <patternFill patternType="solid">
          <fgColor indexed="64"/>
          <bgColor theme="9" tint="0.59999389629810485"/>
        </patternFill>
      </fill>
      <alignment horizontal="right" vertical="bottom" textRotation="0" wrapText="0" indent="0" justifyLastLine="0" shrinkToFit="0" readingOrder="0"/>
      <border diagonalUp="0" diagonalDown="0">
        <left style="thin">
          <color rgb="FFB2B2B2"/>
        </left>
        <right/>
        <top/>
        <bottom/>
        <vertical/>
        <horizontal/>
      </border>
    </dxf>
    <dxf>
      <font>
        <b val="0"/>
        <i val="0"/>
        <strike val="0"/>
        <condense val="0"/>
        <extend val="0"/>
        <outline val="0"/>
        <shadow val="0"/>
        <u val="none"/>
        <vertAlign val="baseline"/>
        <sz val="11"/>
        <color theme="1"/>
        <name val="Calibri"/>
        <family val="2"/>
        <scheme val="minor"/>
      </font>
      <numFmt numFmtId="34" formatCode="_-* #,##0.00\ &quot;€&quot;_-;\-* #,##0.00\ &quot;€&quot;_-;_-* &quot;-&quot;??\ &quot;€&quot;_-;_-@_-"/>
      <fill>
        <patternFill patternType="solid">
          <fgColor indexed="64"/>
          <bgColor theme="9" tint="0.59999389629810485"/>
        </patternFill>
      </fill>
      <alignment horizontal="right" vertical="bottom" textRotation="0" wrapText="0" indent="0" justifyLastLine="0" shrinkToFit="0" readingOrder="0"/>
      <border diagonalUp="0" diagonalDown="0">
        <left style="thin">
          <color rgb="FFB2B2B2"/>
        </left>
        <right style="thin">
          <color rgb="FFB2B2B2"/>
        </right>
        <top/>
        <bottom style="thin">
          <color rgb="FFB2B2B2"/>
        </bottom>
        <vertical/>
        <horizontal/>
      </border>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charset val="238"/>
        <scheme val="minor"/>
      </font>
      <numFmt numFmtId="0" formatCode="General"/>
      <alignment horizontal="center" vertical="center" textRotation="0" wrapText="0" indent="0" justifyLastLine="0" shrinkToFit="0" readingOrder="0"/>
    </dxf>
    <dxf>
      <numFmt numFmtId="19" formatCode="d/m/yyyy"/>
      <fill>
        <patternFill patternType="solid">
          <fgColor indexed="64"/>
          <bgColor theme="9" tint="0.59999389629810485"/>
        </patternFill>
      </fill>
      <alignment horizontal="center" vertical="bottom" textRotation="0" wrapText="0" indent="0" justifyLastLine="0" shrinkToFit="0" readingOrder="0"/>
    </dxf>
    <dxf>
      <fill>
        <patternFill patternType="solid">
          <fgColor indexed="64"/>
          <bgColor theme="8" tint="-0.499984740745262"/>
        </patternFill>
      </fill>
    </dxf>
    <dxf>
      <font>
        <b val="0"/>
        <i val="0"/>
        <strike val="0"/>
        <condense val="0"/>
        <extend val="0"/>
        <outline val="0"/>
        <shadow val="0"/>
        <u val="none"/>
        <vertAlign val="baseline"/>
        <sz val="11"/>
        <color theme="1"/>
        <name val="Calibri"/>
        <family val="2"/>
        <scheme val="minor"/>
      </font>
      <fill>
        <patternFill patternType="solid">
          <fgColor indexed="64"/>
          <bgColor theme="8" tint="-0.499984740745262"/>
        </patternFill>
      </fill>
    </dxf>
    <dxf>
      <fill>
        <patternFill patternType="solid">
          <fgColor indexed="64"/>
          <bgColor theme="8" tint="-0.499984740745262"/>
        </patternFill>
      </fill>
    </dxf>
    <dxf>
      <fill>
        <patternFill patternType="solid">
          <fgColor indexed="64"/>
          <bgColor theme="8" tint="-0.499984740745262"/>
        </patternFill>
      </fill>
    </dxf>
    <dxf>
      <fill>
        <patternFill patternType="solid">
          <fgColor indexed="64"/>
          <bgColor theme="8" tint="-0.499984740745262"/>
        </patternFill>
      </fill>
    </dxf>
    <dxf>
      <fill>
        <patternFill patternType="solid">
          <fgColor indexed="64"/>
          <bgColor theme="8" tint="-0.499984740745262"/>
        </patternFill>
      </fill>
    </dxf>
    <dxf>
      <numFmt numFmtId="169" formatCode="0.000000"/>
      <fill>
        <patternFill patternType="solid">
          <fgColor indexed="64"/>
          <bgColor theme="8" tint="-0.499984740745262"/>
        </patternFill>
      </fill>
    </dxf>
    <dxf>
      <fill>
        <patternFill patternType="solid">
          <fgColor indexed="64"/>
          <bgColor theme="8" tint="-0.499984740745262"/>
        </patternFill>
      </fill>
    </dxf>
    <dxf>
      <font>
        <b val="0"/>
        <i val="0"/>
        <strike val="0"/>
        <condense val="0"/>
        <extend val="0"/>
        <outline val="0"/>
        <shadow val="0"/>
        <u val="none"/>
        <vertAlign val="baseline"/>
        <sz val="14"/>
        <color theme="1"/>
        <name val="Calibri"/>
        <family val="2"/>
        <scheme val="minor"/>
      </font>
      <numFmt numFmtId="2" formatCode="0.00"/>
      <alignment horizontal="general" vertical="center" textRotation="0" wrapText="0" indent="0" justifyLastLine="0" shrinkToFit="0" readingOrder="0"/>
      <border diagonalUp="0" diagonalDown="0">
        <left style="thin">
          <color theme="0"/>
        </left>
        <right/>
        <top/>
        <bottom/>
        <vertical/>
        <horizontal/>
      </border>
    </dxf>
    <dxf>
      <font>
        <b val="0"/>
        <i val="0"/>
        <strike val="0"/>
        <condense val="0"/>
        <extend val="0"/>
        <outline val="0"/>
        <shadow val="0"/>
        <u val="none"/>
        <vertAlign val="baseline"/>
        <sz val="14"/>
        <color theme="1"/>
        <name val="Calibri"/>
        <family val="2"/>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34" formatCode="_-* #,##0.00\ &quot;€&quot;_-;\-* #,##0.00\ &quot;€&quot;_-;_-* &quot;-&quot;??\ &quot;€&quot;_-;_-@_-"/>
      <alignment horizontal="general" vertical="center" textRotation="0" wrapText="0" indent="0" justifyLastLine="0" shrinkToFit="0" readingOrder="0"/>
      <border diagonalUp="0" diagonalDown="0">
        <left style="thin">
          <color theme="0"/>
        </left>
        <right style="thick">
          <color theme="0"/>
        </right>
        <top/>
        <bottom style="thin">
          <color theme="0"/>
        </bottom>
        <vertical/>
        <horizontal/>
      </border>
    </dxf>
    <dxf>
      <font>
        <b val="0"/>
        <i val="0"/>
        <strike val="0"/>
        <condense val="0"/>
        <extend val="0"/>
        <outline val="0"/>
        <shadow val="0"/>
        <u val="none"/>
        <vertAlign val="baseline"/>
        <sz val="14"/>
        <color theme="1"/>
        <name val="Calibri"/>
        <family val="2"/>
        <scheme val="minor"/>
      </font>
      <numFmt numFmtId="2" formatCode="0.00"/>
      <alignment horizontal="general" vertical="center" textRotation="0" wrapText="0" indent="0" justifyLastLine="0" shrinkToFit="0" readingOrder="0"/>
      <border diagonalUp="0" diagonalDown="0">
        <left style="thick">
          <color theme="0"/>
        </left>
        <right style="thin">
          <color theme="0"/>
        </right>
        <top/>
        <bottom/>
        <vertical/>
        <horizontal/>
      </border>
    </dxf>
    <dxf>
      <font>
        <b val="0"/>
        <i val="0"/>
        <strike val="0"/>
        <condense val="0"/>
        <extend val="0"/>
        <outline val="0"/>
        <shadow val="0"/>
        <u val="none"/>
        <vertAlign val="baseline"/>
        <sz val="14"/>
        <color theme="1"/>
        <name val="Calibri"/>
        <family val="2"/>
        <scheme val="minor"/>
      </font>
      <numFmt numFmtId="14" formatCode="0.00%"/>
      <alignment horizontal="general" vertical="center" textRotation="0" wrapText="0" indent="0" justifyLastLine="0" shrinkToFit="0" readingOrder="0"/>
      <border diagonalUp="0" diagonalDown="0">
        <left/>
        <right style="thick">
          <color theme="0"/>
        </right>
        <top/>
        <bottom style="thin">
          <color theme="0"/>
        </bottom>
        <vertical/>
        <horizontal/>
      </border>
    </dxf>
    <dxf>
      <font>
        <b val="0"/>
        <i val="0"/>
        <strike val="0"/>
        <condense val="0"/>
        <extend val="0"/>
        <outline val="0"/>
        <shadow val="0"/>
        <u val="none"/>
        <vertAlign val="baseline"/>
        <sz val="14"/>
        <color theme="1"/>
        <name val="Calibri"/>
        <family val="2"/>
        <scheme val="minor"/>
      </font>
      <numFmt numFmtId="34" formatCode="_-* #,##0.00\ &quot;€&quot;_-;\-* #,##0.00\ &quot;€&quot;_-;_-* &quot;-&quot;??\ &quot;€&quot;_-;_-@_-"/>
      <alignment horizontal="general" vertical="center" textRotation="0" wrapText="0" indent="0" justifyLastLine="0" shrinkToFit="0" readingOrder="0"/>
      <border diagonalUp="0" diagonalDown="0">
        <left/>
        <right/>
        <top/>
        <bottom style="thin">
          <color theme="0"/>
        </bottom>
        <vertical/>
        <horizontal/>
      </border>
    </dxf>
    <dxf>
      <font>
        <b val="0"/>
        <i val="0"/>
        <strike val="0"/>
        <condense val="0"/>
        <extend val="0"/>
        <outline val="0"/>
        <shadow val="0"/>
        <u val="none"/>
        <vertAlign val="baseline"/>
        <sz val="14"/>
        <color theme="1"/>
        <name val="Calibri"/>
        <family val="2"/>
        <scheme val="minor"/>
      </font>
      <numFmt numFmtId="14" formatCode="0.00%"/>
      <alignment horizontal="general" vertical="center" textRotation="0" wrapText="0" indent="0" justifyLastLine="0" shrinkToFit="0" readingOrder="0"/>
      <border diagonalUp="0" diagonalDown="0">
        <left/>
        <right style="thick">
          <color theme="0"/>
        </right>
        <top/>
        <bottom style="thin">
          <color theme="0"/>
        </bottom>
        <vertical/>
        <horizontal/>
      </border>
    </dxf>
    <dxf>
      <font>
        <b val="0"/>
        <i val="0"/>
        <strike val="0"/>
        <condense val="0"/>
        <extend val="0"/>
        <outline val="0"/>
        <shadow val="0"/>
        <u val="none"/>
        <vertAlign val="baseline"/>
        <sz val="14"/>
        <color theme="1"/>
        <name val="Calibri"/>
        <family val="2"/>
        <scheme val="minor"/>
      </font>
      <numFmt numFmtId="14" formatCode="0.00%"/>
      <alignment horizontal="general" vertical="center" textRotation="0" wrapText="0" indent="0" justifyLastLine="0" shrinkToFit="0" readingOrder="0"/>
      <border diagonalUp="0" diagonalDown="0">
        <left/>
        <right/>
        <top/>
        <bottom style="thin">
          <color theme="0"/>
        </bottom>
        <vertical/>
        <horizontal/>
      </border>
    </dxf>
    <dxf>
      <font>
        <b val="0"/>
        <i val="0"/>
        <strike val="0"/>
        <condense val="0"/>
        <extend val="0"/>
        <outline val="0"/>
        <shadow val="0"/>
        <u val="none"/>
        <vertAlign val="baseline"/>
        <sz val="14"/>
        <color theme="1"/>
        <name val="Calibri"/>
        <family val="2"/>
        <scheme val="minor"/>
      </font>
      <numFmt numFmtId="14" formatCode="0.00%"/>
      <alignment horizontal="general" vertical="center" textRotation="0" wrapText="0" indent="0" justifyLastLine="0" shrinkToFit="0" readingOrder="0"/>
      <border diagonalUp="0" diagonalDown="0">
        <left/>
        <right/>
        <top/>
        <bottom style="thin">
          <color theme="0"/>
        </bottom>
        <vertical/>
        <horizontal/>
      </border>
    </dxf>
    <dxf>
      <font>
        <b val="0"/>
        <i val="0"/>
        <strike val="0"/>
        <condense val="0"/>
        <extend val="0"/>
        <outline val="0"/>
        <shadow val="0"/>
        <u val="none"/>
        <vertAlign val="baseline"/>
        <sz val="14"/>
        <color theme="1"/>
        <name val="Calibri"/>
        <family val="2"/>
        <scheme val="minor"/>
      </font>
      <numFmt numFmtId="14" formatCode="0.00%"/>
      <alignment horizontal="general" vertical="center" textRotation="0" wrapText="0" indent="0" justifyLastLine="0" shrinkToFit="0" readingOrder="0"/>
      <border diagonalUp="0" diagonalDown="0">
        <left style="thick">
          <color theme="0"/>
        </left>
        <right/>
        <top/>
        <bottom style="thin">
          <color theme="0"/>
        </bottom>
        <vertical/>
        <horizontal/>
      </border>
    </dxf>
    <dxf>
      <font>
        <b val="0"/>
        <i/>
        <strike val="0"/>
        <condense val="0"/>
        <extend val="0"/>
        <outline val="0"/>
        <shadow val="0"/>
        <u val="none"/>
        <vertAlign val="baseline"/>
        <sz val="14"/>
        <color theme="1"/>
        <name val="Calibri"/>
        <family val="2"/>
        <scheme val="minor"/>
      </font>
      <numFmt numFmtId="166" formatCode="_-* #,##0.0000\ &quot;€&quot;_-;\-* #,##0.0000\ &quot;€&quot;_-;_-* &quot;-&quot;??\ &quot;€&quot;_-;_-@_-"/>
      <alignment horizontal="general" vertical="center" textRotation="0" wrapText="0" indent="0" justifyLastLine="0" shrinkToFit="0" readingOrder="0"/>
      <border diagonalUp="0" diagonalDown="0">
        <left style="thin">
          <color theme="0"/>
        </left>
        <right/>
        <top/>
        <bottom style="thin">
          <color theme="0"/>
        </bottom>
        <vertical/>
        <horizontal/>
      </border>
    </dxf>
    <dxf>
      <font>
        <b/>
        <i val="0"/>
        <strike val="0"/>
        <condense val="0"/>
        <extend val="0"/>
        <outline val="0"/>
        <shadow val="0"/>
        <u val="none"/>
        <vertAlign val="baseline"/>
        <sz val="14"/>
        <color theme="1"/>
        <name val="Calibri"/>
        <family val="2"/>
        <scheme val="minor"/>
      </font>
      <numFmt numFmtId="34" formatCode="_-* #,##0.00\ &quot;€&quot;_-;\-* #,##0.00\ &quot;€&quot;_-;_-* &quot;-&quot;??\ &quot;€&quot;_-;_-@_-"/>
      <alignment horizontal="general" vertical="center" textRotation="0" wrapText="0" indent="0" justifyLastLine="0" shrinkToFit="0" readingOrder="0"/>
      <border diagonalUp="0" diagonalDown="0">
        <left style="thin">
          <color theme="0"/>
        </left>
        <right style="thin">
          <color theme="0"/>
        </right>
        <top/>
        <bottom style="thin">
          <color theme="0"/>
        </bottom>
        <vertical/>
        <horizontal/>
      </border>
    </dxf>
    <dxf>
      <font>
        <b val="0"/>
        <i val="0"/>
        <strike val="0"/>
        <condense val="0"/>
        <extend val="0"/>
        <outline val="0"/>
        <shadow val="0"/>
        <u val="none"/>
        <vertAlign val="baseline"/>
        <sz val="14"/>
        <color theme="1"/>
        <name val="Calibri"/>
        <family val="2"/>
        <scheme val="minor"/>
      </font>
      <numFmt numFmtId="167" formatCode="0.0000"/>
      <alignment horizontal="general" vertical="center" textRotation="0" wrapText="0" indent="0" justifyLastLine="0" shrinkToFit="0" readingOrder="0"/>
      <border diagonalUp="0" diagonalDown="0">
        <left style="thick">
          <color theme="0"/>
        </left>
        <right style="thin">
          <color theme="0"/>
        </right>
        <top/>
        <bottom style="thin">
          <color theme="0"/>
        </bottom>
        <vertical/>
        <horizontal/>
      </border>
    </dxf>
    <dxf>
      <font>
        <b val="0"/>
        <i val="0"/>
        <strike val="0"/>
        <condense val="0"/>
        <extend val="0"/>
        <outline val="0"/>
        <shadow val="0"/>
        <u val="none"/>
        <vertAlign val="baseline"/>
        <sz val="14"/>
        <color theme="1"/>
        <name val="Calibri"/>
        <family val="2"/>
        <scheme val="minor"/>
      </font>
      <numFmt numFmtId="0" formatCode="General"/>
      <alignment horizontal="center" vertical="center" textRotation="0" wrapText="0" indent="0" justifyLastLine="0" shrinkToFit="0" readingOrder="0"/>
      <border diagonalUp="0" diagonalDown="0">
        <left style="thin">
          <color theme="0"/>
        </left>
        <right/>
        <top/>
        <bottom style="thin">
          <color theme="0"/>
        </bottom>
        <vertical/>
        <horizontal/>
      </border>
    </dxf>
    <dxf>
      <font>
        <b/>
        <i val="0"/>
        <strike val="0"/>
        <condense val="0"/>
        <extend val="0"/>
        <outline val="0"/>
        <shadow val="0"/>
        <u val="none"/>
        <vertAlign val="baseline"/>
        <sz val="14"/>
        <color theme="1"/>
        <name val="Calibri"/>
        <family val="2"/>
        <scheme val="minor"/>
      </font>
      <numFmt numFmtId="0" formatCode="General"/>
      <alignment horizontal="general" vertical="center" textRotation="0" wrapText="0" indent="0" justifyLastLine="0" shrinkToFit="0" readingOrder="0"/>
      <border diagonalUp="0" diagonalDown="0">
        <left style="thin">
          <color theme="0"/>
        </left>
        <right style="thin">
          <color theme="0"/>
        </right>
        <top/>
        <bottom style="thin">
          <color theme="0"/>
        </bottom>
        <vertical/>
        <horizontal/>
      </border>
    </dxf>
    <dxf>
      <font>
        <b val="0"/>
        <i val="0"/>
        <strike val="0"/>
        <condense val="0"/>
        <extend val="0"/>
        <outline val="0"/>
        <shadow val="0"/>
        <u val="none"/>
        <vertAlign val="baseline"/>
        <sz val="14"/>
        <color theme="1"/>
        <name val="Calibri"/>
        <family val="2"/>
        <scheme val="minor"/>
      </font>
      <fill>
        <patternFill patternType="solid">
          <fgColor indexed="64"/>
          <bgColor theme="4" tint="-0.249977111117893"/>
        </patternFill>
      </fill>
      <alignment horizontal="general" vertical="center" textRotation="0" wrapText="0" indent="0" justifyLastLine="0" shrinkToFit="0" readingOrder="0"/>
      <border diagonalUp="0" diagonalDown="0" outline="0">
        <left style="thin">
          <color theme="0"/>
        </left>
        <right style="thin">
          <color theme="0"/>
        </right>
        <top style="thin">
          <color theme="0"/>
        </top>
        <bottom/>
      </border>
    </dxf>
    <dxf>
      <font>
        <b val="0"/>
        <i val="0"/>
        <strike val="0"/>
        <condense val="0"/>
        <extend val="0"/>
        <outline val="0"/>
        <shadow val="0"/>
        <u val="none"/>
        <vertAlign val="baseline"/>
        <sz val="14"/>
        <color theme="1"/>
        <name val="Calibri"/>
        <family val="2"/>
        <scheme val="minor"/>
      </font>
      <numFmt numFmtId="0" formatCode="General"/>
      <fill>
        <patternFill patternType="solid">
          <fgColor indexed="64"/>
          <bgColor theme="4" tint="-0.249977111117893"/>
        </patternFill>
      </fill>
      <alignment horizontal="center" vertical="center" textRotation="0" wrapText="0" indent="0" justifyLastLine="0" shrinkToFit="0" readingOrder="0"/>
      <border diagonalUp="0" diagonalDown="0" outline="0">
        <left style="thin">
          <color theme="0"/>
        </left>
        <right/>
        <top style="thin">
          <color theme="0"/>
        </top>
        <bottom/>
      </border>
    </dxf>
    <dxf>
      <font>
        <b val="0"/>
        <i val="0"/>
        <strike val="0"/>
        <condense val="0"/>
        <extend val="0"/>
        <outline val="0"/>
        <shadow val="0"/>
        <u val="none"/>
        <vertAlign val="baseline"/>
        <sz val="14"/>
        <color theme="8" tint="-0.249977111117893"/>
        <name val="Calibri"/>
        <family val="2"/>
        <scheme val="minor"/>
      </font>
      <numFmt numFmtId="167" formatCode="0.0000"/>
      <alignment horizontal="general" vertical="center" textRotation="0" wrapText="0" indent="0" justifyLastLine="0" shrinkToFit="0" readingOrder="0"/>
      <border diagonalUp="0" diagonalDown="0" outline="0">
        <left style="thick">
          <color theme="0"/>
        </left>
        <right style="thin">
          <color theme="0"/>
        </right>
        <top style="thin">
          <color theme="0"/>
        </top>
        <bottom/>
      </border>
    </dxf>
    <dxf>
      <font>
        <b val="0"/>
        <i val="0"/>
        <strike val="0"/>
        <condense val="0"/>
        <extend val="0"/>
        <outline val="0"/>
        <shadow val="0"/>
        <u val="none"/>
        <vertAlign val="baseline"/>
        <sz val="14"/>
        <color theme="8" tint="-0.249977111117893"/>
        <name val="Calibri"/>
        <family val="2"/>
        <scheme val="minor"/>
      </font>
      <numFmt numFmtId="34" formatCode="_-* #,##0.00\ &quot;€&quot;_-;\-* #,##0.00\ &quot;€&quot;_-;_-* &quot;-&quot;??\ &quot;€&quot;_-;_-@_-"/>
      <alignment horizontal="general"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b val="0"/>
        <i/>
        <strike val="0"/>
        <condense val="0"/>
        <extend val="0"/>
        <outline val="0"/>
        <shadow val="0"/>
        <u val="none"/>
        <vertAlign val="baseline"/>
        <sz val="14"/>
        <color theme="8" tint="-0.249977111117893"/>
        <name val="Calibri"/>
        <family val="2"/>
        <scheme val="minor"/>
      </font>
      <numFmt numFmtId="166" formatCode="_-* #,##0.0000\ &quot;€&quot;_-;\-* #,##0.0000\ &quot;€&quot;_-;_-* &quot;-&quot;??\ &quot;€&quot;_-;_-@_-"/>
      <alignment horizontal="general" vertical="center" textRotation="0" wrapText="0" indent="0" justifyLastLine="0" shrinkToFit="0" readingOrder="0"/>
      <border diagonalUp="0" diagonalDown="0" outline="0">
        <left style="thin">
          <color theme="0"/>
        </left>
        <right/>
        <top style="thin">
          <color theme="0"/>
        </top>
        <bottom/>
      </border>
    </dxf>
    <dxf>
      <font>
        <b val="0"/>
        <i val="0"/>
        <strike val="0"/>
        <condense val="0"/>
        <extend val="0"/>
        <outline val="0"/>
        <shadow val="0"/>
        <u val="none"/>
        <vertAlign val="baseline"/>
        <sz val="14"/>
        <color theme="1"/>
        <name val="Calibri"/>
        <family val="2"/>
        <scheme val="minor"/>
      </font>
      <fill>
        <patternFill patternType="solid">
          <fgColor indexed="64"/>
          <bgColor theme="4" tint="-0.249977111117893"/>
        </patternFill>
      </fill>
      <alignment horizontal="general" vertical="center" textRotation="0" wrapText="0" indent="0" justifyLastLine="0" shrinkToFit="0" readingOrder="0"/>
      <border diagonalUp="0" diagonalDown="0" outline="0">
        <left style="thick">
          <color theme="0"/>
        </left>
        <right style="thin">
          <color theme="0"/>
        </right>
        <top style="thin">
          <color theme="0"/>
        </top>
        <bottom/>
      </border>
    </dxf>
    <dxf>
      <font>
        <b val="0"/>
        <i val="0"/>
        <strike val="0"/>
        <condense val="0"/>
        <extend val="0"/>
        <outline val="0"/>
        <shadow val="0"/>
        <u val="none"/>
        <vertAlign val="baseline"/>
        <sz val="14"/>
        <color theme="1"/>
        <name val="Calibri"/>
        <family val="2"/>
        <scheme val="minor"/>
      </font>
      <numFmt numFmtId="14" formatCode="0.00%"/>
      <fill>
        <patternFill patternType="solid">
          <fgColor indexed="64"/>
          <bgColor theme="4" tint="-0.249977111117893"/>
        </patternFill>
      </fill>
      <alignment horizontal="general" vertical="center" textRotation="0" wrapText="0" indent="0" justifyLastLine="0" shrinkToFit="0" readingOrder="0"/>
      <border diagonalUp="0" diagonalDown="0" outline="0">
        <left style="thin">
          <color theme="0"/>
        </left>
        <right style="thin">
          <color theme="0"/>
        </right>
        <top style="thin">
          <color theme="0"/>
        </top>
        <bottom/>
      </border>
    </dxf>
    <dxf>
      <font>
        <b val="0"/>
        <i val="0"/>
        <strike val="0"/>
        <condense val="0"/>
        <extend val="0"/>
        <outline val="0"/>
        <shadow val="0"/>
        <u val="none"/>
        <vertAlign val="baseline"/>
        <sz val="14"/>
        <color theme="1"/>
        <name val="Calibri"/>
        <family val="2"/>
        <scheme val="minor"/>
      </font>
      <fill>
        <patternFill patternType="solid">
          <fgColor indexed="64"/>
          <bgColor theme="4" tint="-0.249977111117893"/>
        </patternFill>
      </fill>
      <alignment horizontal="general" vertical="center" textRotation="0" wrapText="0" indent="0" justifyLastLine="0" shrinkToFit="0" readingOrder="0"/>
      <border diagonalUp="0" diagonalDown="0" outline="0">
        <left style="thin">
          <color theme="0"/>
        </left>
        <right style="thin">
          <color theme="0"/>
        </right>
        <top style="thin">
          <color theme="0"/>
        </top>
        <bottom/>
      </border>
    </dxf>
    <dxf>
      <font>
        <b val="0"/>
        <i val="0"/>
        <strike val="0"/>
        <condense val="0"/>
        <extend val="0"/>
        <outline val="0"/>
        <shadow val="0"/>
        <u val="none"/>
        <vertAlign val="baseline"/>
        <sz val="14"/>
        <color theme="1"/>
        <name val="Calibri"/>
        <family val="2"/>
        <scheme val="minor"/>
      </font>
      <fill>
        <patternFill patternType="solid">
          <fgColor indexed="64"/>
          <bgColor theme="4" tint="-0.249977111117893"/>
        </patternFill>
      </fill>
      <alignment horizontal="general" vertical="center" textRotation="0" wrapText="0" indent="0" justifyLastLine="0" shrinkToFit="0" readingOrder="0"/>
      <border diagonalUp="0" diagonalDown="0" outline="0">
        <left style="thin">
          <color theme="0"/>
        </left>
        <right style="thick">
          <color theme="0"/>
        </right>
        <top style="thin">
          <color theme="0"/>
        </top>
        <bottom/>
      </border>
    </dxf>
    <dxf>
      <font>
        <b/>
        <i val="0"/>
        <strike val="0"/>
        <condense val="0"/>
        <extend val="0"/>
        <outline val="0"/>
        <shadow val="0"/>
        <u val="none"/>
        <vertAlign val="baseline"/>
        <sz val="14"/>
        <color theme="0"/>
        <name val="Calibri"/>
        <family val="2"/>
        <scheme val="minor"/>
      </font>
      <numFmt numFmtId="166" formatCode="_-* #,##0.0000\ &quot;€&quot;_-;\-* #,##0.0000\ &quot;€&quot;_-;_-* &quot;-&quot;??\ &quot;€&quot;_-;_-@_-"/>
      <fill>
        <patternFill patternType="solid">
          <fgColor theme="4"/>
          <bgColor theme="4"/>
        </patternFill>
      </fill>
      <alignment horizontal="general" vertical="center" textRotation="0" wrapText="0" indent="0" justifyLastLine="0" shrinkToFit="0" readingOrder="0"/>
      <border diagonalUp="0" diagonalDown="0" outline="0">
        <left/>
        <right style="thin">
          <color theme="0"/>
        </right>
        <top style="thin">
          <color theme="0"/>
        </top>
        <bottom/>
      </border>
    </dxf>
    <dxf>
      <font>
        <b/>
        <i val="0"/>
        <strike val="0"/>
        <condense val="0"/>
        <extend val="0"/>
        <outline val="0"/>
        <shadow val="0"/>
        <u val="none"/>
        <vertAlign val="baseline"/>
        <sz val="14"/>
        <color theme="0"/>
        <name val="Calibri"/>
        <family val="2"/>
        <scheme val="minor"/>
      </font>
      <numFmt numFmtId="166" formatCode="_-* #,##0.0000\ &quot;€&quot;_-;\-* #,##0.0000\ &quot;€&quot;_-;_-* &quot;-&quot;??\ &quot;€&quot;_-;_-@_-"/>
      <fill>
        <patternFill patternType="solid">
          <fgColor theme="4"/>
          <bgColor theme="4"/>
        </patternFill>
      </fill>
      <alignment horizontal="general" vertical="center" textRotation="0" wrapText="0" indent="0" justifyLastLine="0" shrinkToFit="0" readingOrder="0"/>
      <border diagonalUp="0" diagonalDown="0" outline="0">
        <left style="thin">
          <color theme="0"/>
        </left>
        <right style="thick">
          <color theme="0"/>
        </right>
        <top style="thin">
          <color theme="0"/>
        </top>
        <bottom/>
      </border>
    </dxf>
    <dxf>
      <font>
        <b val="0"/>
        <i val="0"/>
        <strike val="0"/>
        <condense val="0"/>
        <extend val="0"/>
        <outline val="0"/>
        <shadow val="0"/>
        <u val="none"/>
        <vertAlign val="baseline"/>
        <sz val="14"/>
        <color theme="1"/>
        <name val="Calibri"/>
        <family val="2"/>
        <scheme val="minor"/>
      </font>
      <numFmt numFmtId="2" formatCode="0.00"/>
      <fill>
        <patternFill patternType="solid">
          <fgColor indexed="64"/>
          <bgColor theme="4" tint="-0.249977111117893"/>
        </patternFill>
      </fill>
      <alignment horizontal="general" vertical="center" textRotation="0" wrapText="0" indent="0" justifyLastLine="0" shrinkToFit="0" readingOrder="0"/>
      <border diagonalUp="0" diagonalDown="0" outline="0">
        <left style="thick">
          <color theme="0"/>
        </left>
        <right style="thin">
          <color theme="0"/>
        </right>
        <top style="thin">
          <color theme="0"/>
        </top>
        <bottom/>
      </border>
    </dxf>
    <dxf>
      <font>
        <b val="0"/>
        <i val="0"/>
        <strike val="0"/>
        <condense val="0"/>
        <extend val="0"/>
        <outline val="0"/>
        <shadow val="0"/>
        <u val="none"/>
        <vertAlign val="baseline"/>
        <sz val="14"/>
        <color theme="1"/>
        <name val="Calibri"/>
        <family val="2"/>
        <scheme val="minor"/>
      </font>
      <numFmt numFmtId="13" formatCode="0%"/>
      <fill>
        <patternFill patternType="solid">
          <fgColor indexed="64"/>
          <bgColor theme="4" tint="-0.249977111117893"/>
        </patternFill>
      </fill>
      <alignment horizontal="general" vertical="center" textRotation="0" wrapText="0" indent="0" justifyLastLine="0" shrinkToFit="0" readingOrder="0"/>
      <border diagonalUp="0" diagonalDown="0" outline="0">
        <left style="thin">
          <color theme="0"/>
        </left>
        <right style="thick">
          <color theme="0"/>
        </right>
        <top style="thin">
          <color theme="0"/>
        </top>
        <bottom/>
      </border>
    </dxf>
    <dxf>
      <font>
        <b val="0"/>
        <i val="0"/>
        <strike val="0"/>
        <condense val="0"/>
        <extend val="0"/>
        <outline val="0"/>
        <shadow val="0"/>
        <u val="none"/>
        <vertAlign val="baseline"/>
        <sz val="14"/>
        <color theme="1"/>
        <name val="Calibri"/>
        <family val="2"/>
        <scheme val="minor"/>
      </font>
      <numFmt numFmtId="2" formatCode="0.00"/>
      <alignment horizontal="general" vertical="center" textRotation="0" wrapText="0" indent="0" justifyLastLine="0" shrinkToFit="0" readingOrder="0"/>
      <border diagonalUp="0" diagonalDown="0" outline="0">
        <left/>
        <right style="thin">
          <color theme="0"/>
        </right>
        <top style="thin">
          <color theme="0"/>
        </top>
        <bottom/>
      </border>
    </dxf>
    <dxf>
      <font>
        <b val="0"/>
        <i val="0"/>
        <strike val="0"/>
        <condense val="0"/>
        <extend val="0"/>
        <outline val="0"/>
        <shadow val="0"/>
        <u val="none"/>
        <vertAlign val="baseline"/>
        <sz val="14"/>
        <color theme="1"/>
        <name val="Calibri"/>
        <family val="2"/>
        <scheme val="minor"/>
      </font>
      <numFmt numFmtId="2" formatCode="0.00"/>
      <alignment horizontal="general" vertical="center" textRotation="0" wrapText="0" indent="0" justifyLastLine="0" shrinkToFit="0" readingOrder="0"/>
      <border diagonalUp="0" diagonalDown="0" outline="0">
        <left style="thin">
          <color theme="0"/>
        </left>
        <right style="thin">
          <color theme="0"/>
        </right>
        <top style="thin">
          <color theme="0"/>
        </top>
        <bottom/>
      </border>
    </dxf>
    <dxf>
      <font>
        <b/>
        <i val="0"/>
        <strike val="0"/>
        <condense val="0"/>
        <extend val="0"/>
        <outline val="0"/>
        <shadow val="0"/>
        <u val="none"/>
        <vertAlign val="baseline"/>
        <sz val="14"/>
        <color theme="1"/>
        <name val="Calibri"/>
        <family val="2"/>
        <scheme val="minor"/>
      </font>
      <fill>
        <patternFill patternType="none">
          <fgColor indexed="64"/>
          <bgColor indexed="65"/>
        </patternFill>
      </fill>
    </dxf>
    <dxf>
      <font>
        <b/>
        <i val="0"/>
        <strike val="0"/>
        <condense val="0"/>
        <extend val="0"/>
        <outline val="0"/>
        <shadow val="0"/>
        <u val="none"/>
        <vertAlign val="baseline"/>
        <sz val="16"/>
        <color auto="1"/>
        <name val="Calibri"/>
        <family val="2"/>
        <scheme val="minor"/>
      </font>
      <numFmt numFmtId="34" formatCode="_-* #,##0.00\ &quot;€&quot;_-;\-* #,##0.00\ &quot;€&quot;_-;_-* &quot;-&quot;??\ &quot;€&quot;_-;_-@_-"/>
      <fill>
        <patternFill patternType="solid">
          <fgColor theme="4"/>
          <bgColor theme="4"/>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border>
    </dxf>
    <dxf>
      <font>
        <b/>
        <i val="0"/>
        <strike val="0"/>
        <condense val="0"/>
        <extend val="0"/>
        <outline val="0"/>
        <shadow val="0"/>
        <u val="none"/>
        <vertAlign val="baseline"/>
        <sz val="16"/>
        <color rgb="FFFF9B9B"/>
        <name val="Calibri"/>
        <family val="2"/>
        <scheme val="minor"/>
      </font>
      <numFmt numFmtId="34" formatCode="_-* #,##0.00\ &quot;€&quot;_-;\-* #,##0.00\ &quot;€&quot;_-;_-* &quot;-&quot;??\ &quot;€&quot;_-;_-@_-"/>
      <fill>
        <patternFill patternType="solid">
          <fgColor indexed="64"/>
          <bgColor theme="8" tint="-0.249977111117893"/>
        </patternFill>
      </fill>
      <alignment horizontal="right" vertical="center" textRotation="0" wrapText="0" indent="0" justifyLastLine="0" shrinkToFit="0" readingOrder="0"/>
    </dxf>
    <dxf>
      <font>
        <b/>
        <i val="0"/>
        <strike val="0"/>
        <condense val="0"/>
        <extend val="0"/>
        <outline val="0"/>
        <shadow val="0"/>
        <u val="none"/>
        <vertAlign val="baseline"/>
        <sz val="16"/>
        <color theme="0"/>
        <name val="Calibri"/>
        <family val="2"/>
        <scheme val="minor"/>
      </font>
      <numFmt numFmtId="34" formatCode="_-* #,##0.00\ &quot;€&quot;_-;\-* #,##0.00\ &quot;€&quot;_-;_-* &quot;-&quot;??\ &quot;€&quot;_-;_-@_-"/>
      <fill>
        <patternFill patternType="solid">
          <fgColor theme="4"/>
          <bgColor theme="9" tint="-0.499984740745262"/>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border>
    </dxf>
    <dxf>
      <font>
        <b/>
        <i val="0"/>
        <strike val="0"/>
        <condense val="0"/>
        <extend val="0"/>
        <outline val="0"/>
        <shadow val="0"/>
        <u val="none"/>
        <vertAlign val="baseline"/>
        <sz val="16"/>
        <color theme="0"/>
        <name val="Calibri"/>
        <family val="2"/>
        <scheme val="minor"/>
      </font>
      <numFmt numFmtId="34" formatCode="_-* #,##0.00\ &quot;€&quot;_-;\-* #,##0.00\ &quot;€&quot;_-;_-* &quot;-&quot;??\ &quot;€&quot;_-;_-@_-"/>
      <fill>
        <patternFill patternType="solid">
          <fgColor theme="4"/>
          <bgColor rgb="FF0070C0"/>
        </patternFill>
      </fill>
      <alignment horizontal="right" vertical="center" textRotation="0" wrapText="0" indent="0" justifyLastLine="0" shrinkToFit="0" readingOrder="0"/>
      <border diagonalUp="0" diagonalDown="0" outline="0">
        <left style="thin">
          <color theme="0"/>
        </left>
        <right style="thin">
          <color theme="0"/>
        </right>
        <top style="thin">
          <color theme="0"/>
        </top>
        <bottom/>
      </border>
    </dxf>
    <dxf>
      <font>
        <b/>
        <i val="0"/>
        <strike val="0"/>
        <condense val="0"/>
        <extend val="0"/>
        <outline val="0"/>
        <shadow val="0"/>
        <u val="none"/>
        <vertAlign val="baseline"/>
        <sz val="16"/>
        <color theme="1"/>
        <name val="Calibri"/>
        <family val="2"/>
        <scheme val="minor"/>
      </font>
      <numFmt numFmtId="13"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numFmt numFmtId="34" formatCode="_-* #,##0.00\ &quot;€&quot;_-;\-* #,##0.00\ &quot;€&quot;_-;_-* &quot;-&quot;??\ &quot;€&quot;_-;_-@_-"/>
      <alignment horizontal="general" vertical="center" textRotation="0" wrapText="0" indent="0" justifyLastLine="0" shrinkToFit="0" readingOrder="0"/>
    </dxf>
    <dxf>
      <font>
        <b/>
        <i/>
        <strike val="0"/>
        <condense val="0"/>
        <extend val="0"/>
        <outline val="0"/>
        <shadow val="0"/>
        <u val="none"/>
        <vertAlign val="baseline"/>
        <sz val="12"/>
        <color theme="1"/>
        <name val="Calibri"/>
        <family val="2"/>
        <scheme val="minor"/>
      </font>
      <numFmt numFmtId="167" formatCode="0.0000"/>
      <alignment horizontal="center" vertical="center" textRotation="0" wrapText="0" indent="0" justifyLastLine="0" shrinkToFit="0" readingOrder="0"/>
    </dxf>
    <dxf>
      <font>
        <b val="0"/>
        <i/>
        <strike val="0"/>
        <condense val="0"/>
        <extend val="0"/>
        <outline val="0"/>
        <shadow val="0"/>
        <u val="none"/>
        <vertAlign val="baseline"/>
        <sz val="14"/>
        <color theme="1"/>
        <name val="Calibri"/>
        <family val="2"/>
        <scheme val="minor"/>
      </font>
      <numFmt numFmtId="34" formatCode="_-* #,##0.00\ &quot;€&quot;_-;\-* #,##0.00\ &quot;€&quot;_-;_-* &quot;-&quot;??\ &quot;€&quot;_-;_-@_-"/>
      <alignment horizontal="general" vertical="center" textRotation="0" wrapText="0" indent="0" justifyLastLine="0" shrinkToFit="0" readingOrder="0"/>
    </dxf>
    <dxf>
      <font>
        <b/>
        <i val="0"/>
        <strike val="0"/>
        <condense val="0"/>
        <extend val="0"/>
        <outline val="0"/>
        <shadow val="0"/>
        <u val="none"/>
        <vertAlign val="baseline"/>
        <sz val="14"/>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fill>
        <patternFill patternType="solid">
          <fgColor indexed="64"/>
          <bgColor theme="8" tint="-0.499984740745262"/>
        </patternFill>
      </fill>
      <alignment horizontal="general" vertical="center" textRotation="0" wrapText="0" indent="0" justifyLastLine="0" shrinkToFit="0" readingOrder="0"/>
      <border diagonalUp="0" diagonalDown="0" outline="0">
        <left/>
        <right/>
        <top/>
        <bottom/>
      </border>
    </dxf>
    <dxf>
      <font>
        <b val="0"/>
        <i/>
        <strike val="0"/>
        <condense val="0"/>
        <extend val="0"/>
        <outline val="0"/>
        <shadow val="0"/>
        <u val="none"/>
        <vertAlign val="baseline"/>
        <sz val="14"/>
        <color theme="1"/>
        <name val="Calibri"/>
        <family val="2"/>
        <scheme val="minor"/>
      </font>
      <numFmt numFmtId="166" formatCode="_-* #,##0.0000\ &quot;€&quot;_-;\-* #,##0.0000\ &quot;€&quot;_-;_-* &quot;-&quot;??\ &quot;€&quot;_-;_-@_-"/>
      <fill>
        <patternFill patternType="solid">
          <fgColor indexed="64"/>
          <bgColor theme="8" tint="-0.499984740745262"/>
        </patternFill>
      </fill>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theme="1"/>
        <name val="Calibri"/>
        <family val="2"/>
        <scheme val="minor"/>
      </font>
      <numFmt numFmtId="167" formatCode="0.0000"/>
      <fill>
        <patternFill patternType="solid">
          <fgColor indexed="64"/>
          <bgColor theme="8" tint="-0.499984740745262"/>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0"/>
        <name val="Calibri"/>
        <family val="2"/>
        <scheme val="minor"/>
      </font>
      <numFmt numFmtId="34" formatCode="_-* #,##0.00\ &quot;€&quot;_-;\-* #,##0.00\ &quot;€&quot;_-;_-* &quot;-&quot;??\ &quot;€&quot;_-;_-@_-"/>
      <fill>
        <patternFill patternType="solid">
          <fgColor indexed="64"/>
          <bgColor theme="8" tint="-0.499984740745262"/>
        </patternFill>
      </fill>
      <alignment horizontal="general"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4"/>
        <color theme="0"/>
        <name val="Calibri"/>
        <family val="2"/>
        <scheme val="minor"/>
      </font>
      <numFmt numFmtId="34" formatCode="_-* #,##0.00\ &quot;€&quot;_-;\-* #,##0.00\ &quot;€&quot;_-;_-* &quot;-&quot;??\ &quot;€&quot;_-;_-@_-"/>
      <fill>
        <patternFill patternType="solid">
          <fgColor indexed="64"/>
          <bgColor theme="8" tint="-0.249977111117893"/>
        </patternFill>
      </fill>
      <alignment horizontal="center" vertical="center" textRotation="0" wrapText="0" indent="0" justifyLastLine="0" shrinkToFit="0" readingOrder="0"/>
    </dxf>
    <dxf>
      <font>
        <b val="0"/>
        <strike val="0"/>
        <outline val="0"/>
        <shadow val="0"/>
        <u val="none"/>
        <vertAlign val="baseline"/>
        <sz val="12"/>
        <color auto="1"/>
        <name val="Calibri"/>
        <family val="2"/>
        <scheme val="minor"/>
      </font>
      <numFmt numFmtId="34" formatCode="_-* #,##0.00\ &quot;€&quot;_-;\-* #,##0.00\ &quot;€&quot;_-;_-* &quot;-&quot;??\ &quot;€&quot;_-;_-@_-"/>
    </dxf>
    <dxf>
      <font>
        <b val="0"/>
        <strike val="0"/>
        <outline val="0"/>
        <shadow val="0"/>
        <u val="none"/>
        <vertAlign val="baseline"/>
        <sz val="11"/>
        <color auto="1"/>
        <name val="Calibri"/>
        <family val="2"/>
        <scheme val="minor"/>
      </font>
      <numFmt numFmtId="34" formatCode="_-* #,##0.00\ &quot;€&quot;_-;\-* #,##0.00\ &quot;€&quot;_-;_-* &quot;-&quot;??\ &quot;€&quot;_-;_-@_-"/>
    </dxf>
    <dxf>
      <font>
        <b/>
        <i val="0"/>
        <strike val="0"/>
        <condense val="0"/>
        <extend val="0"/>
        <outline val="0"/>
        <shadow val="0"/>
        <u val="none"/>
        <vertAlign val="baseline"/>
        <sz val="14"/>
        <color theme="0"/>
        <name val="Calibri"/>
        <family val="2"/>
        <scheme val="minor"/>
      </font>
      <numFmt numFmtId="34" formatCode="_-* #,##0.00\ &quot;€&quot;_-;\-* #,##0.00\ &quot;€&quot;_-;_-* &quot;-&quot;??\ &quot;€&quot;_-;_-@_-"/>
      <fill>
        <patternFill patternType="solid">
          <fgColor indexed="64"/>
          <bgColor theme="8" tint="-0.249977111117893"/>
        </patternFill>
      </fill>
      <alignment horizontal="center" vertical="center" textRotation="0" wrapText="0" indent="0" justifyLastLine="0" shrinkToFit="0" readingOrder="0"/>
    </dxf>
    <dxf>
      <fill>
        <patternFill>
          <bgColor theme="0"/>
        </patternFill>
      </fill>
    </dxf>
    <dxf>
      <font>
        <color rgb="FF006100"/>
      </font>
      <fill>
        <patternFill>
          <bgColor rgb="FFC6EFCE"/>
        </patternFill>
      </fill>
    </dxf>
    <dxf>
      <font>
        <b val="0"/>
        <i/>
      </font>
      <fill>
        <patternFill>
          <bgColor theme="9"/>
        </patternFill>
      </fill>
    </dxf>
    <dxf>
      <fill>
        <patternFill>
          <bgColor theme="2" tint="-0.24994659260841701"/>
        </patternFill>
      </fill>
    </dxf>
    <dxf>
      <fill>
        <patternFill>
          <bgColor rgb="FFFFC000"/>
        </patternFill>
      </fill>
    </dxf>
    <dxf>
      <fill>
        <patternFill>
          <bgColor rgb="FF00CCFF"/>
        </patternFill>
      </fill>
    </dxf>
    <dxf>
      <font>
        <b val="0"/>
        <i/>
      </font>
      <fill>
        <patternFill>
          <bgColor theme="7" tint="-0.24994659260841701"/>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numFmt numFmtId="34" formatCode="_-* #,##0.00\ &quot;€&quot;_-;\-* #,##0.00\ &quot;€&quot;_-;_-* &quot;-&quot;??\ &quot;€&quot;_-;_-@_-"/>
      <fill>
        <patternFill patternType="solid">
          <fgColor indexed="64"/>
          <bgColor theme="8" tint="-0.499984740745262"/>
        </patternFill>
      </fill>
      <alignment horizontal="right" vertical="bottom" textRotation="0" wrapText="0" indent="0" justifyLastLine="0" shrinkToFit="0" readingOrder="0"/>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0" hidden="0"/>
    </dxf>
    <dxf>
      <font>
        <b val="0"/>
        <i val="0"/>
        <strike val="0"/>
        <condense val="0"/>
        <extend val="0"/>
        <outline val="0"/>
        <shadow val="0"/>
        <u val="none"/>
        <vertAlign val="baseline"/>
        <sz val="11"/>
        <color theme="1"/>
        <name val="Calibri"/>
        <family val="2"/>
        <charset val="238"/>
        <scheme val="minor"/>
      </font>
      <numFmt numFmtId="14" formatCode="0.00%"/>
      <fill>
        <patternFill patternType="solid">
          <fgColor indexed="64"/>
          <bgColor theme="8" tint="0.59999389629810485"/>
        </patternFill>
      </fill>
      <border diagonalUp="0" diagonalDown="0">
        <left style="thin">
          <color theme="0"/>
        </left>
        <right/>
        <top style="thin">
          <color theme="0"/>
        </top>
        <bottom style="thin">
          <color theme="0"/>
        </bottom>
        <vertical/>
        <horizontal/>
      </border>
      <protection locked="0" hidden="0"/>
    </dxf>
    <dxf>
      <font>
        <b val="0"/>
        <i val="0"/>
        <strike val="0"/>
        <condense val="0"/>
        <extend val="0"/>
        <outline val="0"/>
        <shadow val="0"/>
        <u val="none"/>
        <vertAlign val="baseline"/>
        <sz val="11"/>
        <color theme="1"/>
        <name val="Calibri"/>
        <family val="2"/>
        <scheme val="minor"/>
      </font>
      <numFmt numFmtId="34" formatCode="_-* #,##0.00\ &quot;€&quot;_-;\-* #,##0.00\ &quot;€&quot;_-;_-* &quot;-&quot;??\ &quot;€&quot;_-;_-@_-"/>
      <fill>
        <patternFill patternType="solid">
          <fgColor indexed="64"/>
          <bgColor theme="8" tint="-0.499984740745262"/>
        </patternFill>
      </fill>
      <alignment horizontal="right" vertical="bottom" textRotation="0" wrapText="0" indent="0" justifyLastLine="0" shrinkToFit="0" readingOrder="0"/>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0" hidden="0"/>
    </dxf>
    <dxf>
      <numFmt numFmtId="34" formatCode="_-* #,##0.00\ &quot;€&quot;_-;\-* #,##0.00\ &quot;€&quot;_-;_-* &quot;-&quot;??\ &quot;€&quot;_-;_-@_-"/>
      <fill>
        <patternFill patternType="solid">
          <fgColor indexed="64"/>
          <bgColor theme="8" tint="0.59999389629810485"/>
        </patternFill>
      </fill>
      <alignment horizontal="right"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protection locked="0" hidden="0"/>
    </dxf>
    <dxf>
      <font>
        <b val="0"/>
        <i val="0"/>
        <strike val="0"/>
        <condense val="0"/>
        <extend val="0"/>
        <outline val="0"/>
        <shadow val="0"/>
        <u val="none"/>
        <vertAlign val="baseline"/>
        <sz val="11"/>
        <color theme="1"/>
        <name val="Calibri"/>
        <family val="2"/>
        <scheme val="minor"/>
      </font>
      <numFmt numFmtId="34" formatCode="_-* #,##0.00\ &quot;€&quot;_-;\-* #,##0.00\ &quot;€&quot;_-;_-* &quot;-&quot;??\ &quot;€&quot;_-;_-@_-"/>
      <fill>
        <patternFill patternType="solid">
          <fgColor indexed="64"/>
          <bgColor theme="8" tint="-0.499984740745262"/>
        </patternFill>
      </fill>
      <alignment horizontal="right" vertical="bottom" textRotation="0" wrapText="0" indent="0" justifyLastLine="0" shrinkToFit="0" readingOrder="0"/>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0" hidden="0"/>
    </dxf>
    <dxf>
      <font>
        <b val="0"/>
        <i val="0"/>
        <strike val="0"/>
        <condense val="0"/>
        <extend val="0"/>
        <outline val="0"/>
        <shadow val="0"/>
        <u val="none"/>
        <vertAlign val="baseline"/>
        <sz val="11"/>
        <color theme="1"/>
        <name val="Calibri"/>
        <family val="2"/>
        <charset val="238"/>
        <scheme val="minor"/>
      </font>
      <numFmt numFmtId="168" formatCode="_-* #,##0.0000_-;\-* #,##0.0000_-;_-* &quot;-&quot;??_-;_-@_-"/>
      <fill>
        <patternFill patternType="solid">
          <fgColor indexed="64"/>
          <bgColor theme="8" tint="0.59999389629810485"/>
        </patternFill>
      </fill>
      <alignment horizontal="right"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protection locked="0" hidden="0"/>
    </dxf>
    <dxf>
      <font>
        <b val="0"/>
        <i val="0"/>
        <strike val="0"/>
        <condense val="0"/>
        <extend val="0"/>
        <outline val="0"/>
        <shadow val="0"/>
        <u val="none"/>
        <vertAlign val="baseline"/>
        <sz val="11"/>
        <color theme="1"/>
        <name val="Calibri"/>
        <family val="2"/>
        <scheme val="minor"/>
      </font>
      <numFmt numFmtId="34" formatCode="_-* #,##0.00\ &quot;€&quot;_-;\-* #,##0.00\ &quot;€&quot;_-;_-* &quot;-&quot;??\ &quot;€&quot;_-;_-@_-"/>
      <fill>
        <patternFill patternType="solid">
          <fgColor indexed="64"/>
          <bgColor theme="8" tint="-0.499984740745262"/>
        </patternFill>
      </fill>
      <alignment horizontal="right" vertical="bottom" textRotation="0" wrapText="0" indent="0" justifyLastLine="0" shrinkToFit="0" readingOrder="0"/>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0" hidden="0"/>
    </dxf>
    <dxf>
      <numFmt numFmtId="34" formatCode="_-* #,##0.00\ &quot;€&quot;_-;\-* #,##0.00\ &quot;€&quot;_-;_-* &quot;-&quot;??\ &quot;€&quot;_-;_-@_-"/>
      <fill>
        <patternFill patternType="solid">
          <fgColor indexed="64"/>
          <bgColor theme="8" tint="0.59999389629810485"/>
        </patternFill>
      </fill>
      <alignment horizontal="right"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protection locked="0" hidden="0"/>
    </dxf>
    <dxf>
      <font>
        <b val="0"/>
        <i val="0"/>
        <strike val="0"/>
        <condense val="0"/>
        <extend val="0"/>
        <outline val="0"/>
        <shadow val="0"/>
        <u val="none"/>
        <vertAlign val="baseline"/>
        <sz val="11"/>
        <color theme="1"/>
        <name val="Calibri"/>
        <family val="2"/>
        <scheme val="minor"/>
      </font>
      <numFmt numFmtId="34" formatCode="_-* #,##0.00\ &quot;€&quot;_-;\-* #,##0.00\ &quot;€&quot;_-;_-* &quot;-&quot;??\ &quot;€&quot;_-;_-@_-"/>
      <fill>
        <patternFill patternType="solid">
          <fgColor indexed="64"/>
          <bgColor theme="8" tint="-0.499984740745262"/>
        </patternFill>
      </fill>
      <alignment horizontal="right" vertical="bottom" textRotation="0" wrapText="0" indent="0" justifyLastLine="0" shrinkToFit="0" readingOrder="0"/>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0" hidden="0"/>
    </dxf>
    <dxf>
      <font>
        <b val="0"/>
        <i val="0"/>
        <strike val="0"/>
        <condense val="0"/>
        <extend val="0"/>
        <outline val="0"/>
        <shadow val="0"/>
        <u val="none"/>
        <vertAlign val="baseline"/>
        <sz val="11"/>
        <color rgb="FFFF0000"/>
        <name val="Calibri"/>
        <family val="2"/>
        <scheme val="minor"/>
      </font>
      <numFmt numFmtId="34" formatCode="_-* #,##0.00\ &quot;€&quot;_-;\-* #,##0.00\ &quot;€&quot;_-;_-* &quot;-&quot;??\ &quot;€&quot;_-;_-@_-"/>
      <fill>
        <patternFill patternType="solid">
          <fgColor indexed="64"/>
          <bgColor theme="8" tint="0.59999389629810485"/>
        </patternFill>
      </fill>
      <alignment horizontal="right"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protection locked="0" hidden="0"/>
    </dxf>
    <dxf>
      <font>
        <b val="0"/>
        <i val="0"/>
        <strike val="0"/>
        <condense val="0"/>
        <extend val="0"/>
        <outline val="0"/>
        <shadow val="0"/>
        <u val="none"/>
        <vertAlign val="baseline"/>
        <sz val="11"/>
        <color theme="1"/>
        <name val="Calibri"/>
        <family val="2"/>
        <scheme val="minor"/>
      </font>
      <numFmt numFmtId="34" formatCode="_-* #,##0.00\ &quot;€&quot;_-;\-* #,##0.00\ &quot;€&quot;_-;_-* &quot;-&quot;??\ &quot;€&quot;_-;_-@_-"/>
      <fill>
        <patternFill patternType="solid">
          <fgColor indexed="64"/>
          <bgColor theme="8" tint="-0.499984740745262"/>
        </patternFill>
      </fill>
      <alignment horizontal="right" vertical="bottom" textRotation="0" wrapText="0" indent="0" justifyLastLine="0" shrinkToFit="0" readingOrder="0"/>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0" hidden="0"/>
    </dxf>
    <dxf>
      <font>
        <b val="0"/>
        <i val="0"/>
        <strike val="0"/>
        <condense val="0"/>
        <extend val="0"/>
        <outline val="0"/>
        <shadow val="0"/>
        <u val="none"/>
        <vertAlign val="baseline"/>
        <sz val="11"/>
        <color theme="1"/>
        <name val="Calibri"/>
        <family val="2"/>
        <scheme val="minor"/>
      </font>
      <numFmt numFmtId="34" formatCode="_-* #,##0.00\ &quot;€&quot;_-;\-* #,##0.00\ &quot;€&quot;_-;_-* &quot;-&quot;??\ &quot;€&quot;_-;_-@_-"/>
      <fill>
        <patternFill patternType="solid">
          <fgColor indexed="64"/>
          <bgColor theme="8" tint="0.59999389629810485"/>
        </patternFill>
      </fill>
      <alignment horizontal="right" vertical="bottom" textRotation="0" wrapText="0" indent="0" justifyLastLine="0" shrinkToFit="0" readingOrder="0"/>
      <border diagonalUp="0" diagonalDown="0">
        <left style="thin">
          <color rgb="FFB2B2B2"/>
        </left>
        <right style="thin">
          <color rgb="FFB2B2B2"/>
        </right>
        <top style="thin">
          <color rgb="FFB2B2B2"/>
        </top>
        <bottom style="thin">
          <color rgb="FFB2B2B2"/>
        </bottom>
        <vertical/>
        <horizontal/>
      </border>
      <protection locked="0" hidden="0"/>
    </dxf>
    <dxf>
      <font>
        <b val="0"/>
        <i val="0"/>
        <strike val="0"/>
        <condense val="0"/>
        <extend val="0"/>
        <outline val="0"/>
        <shadow val="0"/>
        <u val="none"/>
        <vertAlign val="baseline"/>
        <sz val="11"/>
        <color theme="1"/>
        <name val="Calibri"/>
        <family val="2"/>
        <scheme val="minor"/>
      </font>
      <numFmt numFmtId="34" formatCode="_-* #,##0.00\ &quot;€&quot;_-;\-* #,##0.00\ &quot;€&quot;_-;_-* &quot;-&quot;??\ &quot;€&quot;_-;_-@_-"/>
      <fill>
        <patternFill patternType="solid">
          <fgColor indexed="64"/>
          <bgColor theme="8" tint="-0.499984740745262"/>
        </patternFill>
      </fill>
      <alignment horizontal="right" vertical="bottom" textRotation="0" wrapText="0" indent="0" justifyLastLine="0" shrinkToFit="0" readingOrder="0"/>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0" hidden="0"/>
    </dxf>
    <dxf>
      <fill>
        <patternFill patternType="solid">
          <fgColor indexed="64"/>
          <bgColor theme="8" tint="0.59999389629810485"/>
        </patternFill>
      </fill>
      <alignment horizontal="center" vertical="center" textRotation="0" wrapText="0" indent="0" justifyLastLine="0" shrinkToFit="0" readingOrder="0"/>
      <border diagonalUp="0" diagonalDown="0">
        <left style="thin">
          <color theme="0"/>
        </left>
        <right style="thin">
          <color theme="0"/>
        </right>
        <top style="thin">
          <color theme="0"/>
        </top>
        <bottom style="thin">
          <color theme="0"/>
        </bottom>
        <vertical/>
        <horizontal/>
      </border>
      <protection locked="0" hidden="0"/>
    </dxf>
    <dxf>
      <fill>
        <patternFill patternType="solid">
          <fgColor indexed="64"/>
          <bgColor theme="8" tint="-0.499984740745262"/>
        </patternFill>
      </fill>
      <alignment horizontal="center" vertical="center" textRotation="0" wrapText="0" indent="0" justifyLastLine="0" shrinkToFit="0" readingOrder="0"/>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0" hidden="0"/>
    </dxf>
    <dxf>
      <fill>
        <patternFill patternType="solid">
          <fgColor indexed="64"/>
          <bgColor theme="8" tint="0.59999389629810485"/>
        </patternFill>
      </fill>
      <alignment horizontal="center" vertical="center" textRotation="0" wrapText="0" indent="0" justifyLastLine="0" shrinkToFit="0" readingOrder="0"/>
      <border diagonalUp="0" diagonalDown="0">
        <left style="thin">
          <color theme="0"/>
        </left>
        <right style="thin">
          <color theme="0"/>
        </right>
        <top style="thin">
          <color theme="0"/>
        </top>
        <bottom style="thin">
          <color theme="0"/>
        </bottom>
        <vertical/>
        <horizontal/>
      </border>
      <protection locked="0" hidden="0"/>
    </dxf>
    <dxf>
      <font>
        <b val="0"/>
        <i val="0"/>
        <strike val="0"/>
        <condense val="0"/>
        <extend val="0"/>
        <outline val="0"/>
        <shadow val="0"/>
        <u val="none"/>
        <vertAlign val="baseline"/>
        <sz val="11"/>
        <color rgb="FFFF0000"/>
        <name val="Calibri"/>
        <family val="2"/>
        <scheme val="minor"/>
      </font>
      <numFmt numFmtId="19" formatCode="d/m/yyyy"/>
      <fill>
        <patternFill patternType="solid">
          <fgColor indexed="64"/>
          <bgColor theme="8" tint="-0.499984740745262"/>
        </patternFill>
      </fill>
      <alignment horizontal="center" vertical="bottom" textRotation="0" wrapText="0" indent="0" justifyLastLine="0" shrinkToFit="0" readingOrder="0"/>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1" hidden="0"/>
    </dxf>
    <dxf>
      <numFmt numFmtId="19" formatCode="d/m/yyyy"/>
      <fill>
        <patternFill patternType="solid">
          <fgColor indexed="64"/>
          <bgColor theme="8" tint="0.59999389629810485"/>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rgb="FFFF0000"/>
        <name val="Calibri"/>
        <family val="2"/>
        <scheme val="minor"/>
      </font>
      <numFmt numFmtId="0" formatCode="General"/>
      <fill>
        <patternFill patternType="solid">
          <fgColor indexed="64"/>
          <bgColor theme="8" tint="-0.499984740745262"/>
        </patternFill>
      </fill>
      <border diagonalUp="0" diagonalDown="0" outline="0">
        <left style="medium">
          <color theme="8" tint="-0.499984740745262"/>
        </left>
        <right style="medium">
          <color theme="8" tint="-0.499984740745262"/>
        </right>
        <top style="medium">
          <color theme="8" tint="-0.499984740745262"/>
        </top>
        <bottom style="medium">
          <color theme="8" tint="-0.499984740745262"/>
        </bottom>
      </border>
      <protection locked="1" hidden="0"/>
    </dxf>
    <dxf>
      <numFmt numFmtId="0" formatCode="General"/>
      <fill>
        <patternFill patternType="solid">
          <fgColor indexed="64"/>
          <bgColor theme="5" tint="0.59999389629810485"/>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border>
        <top style="medium">
          <color theme="8" tint="-0.499984740745262"/>
        </top>
      </border>
    </dxf>
    <dxf>
      <font>
        <strike val="0"/>
        <outline val="0"/>
        <shadow val="0"/>
        <u val="none"/>
        <vertAlign val="baseline"/>
        <sz val="11"/>
        <color rgb="FFFF0000"/>
        <name val="Calibri"/>
        <family val="2"/>
        <scheme val="minor"/>
      </font>
      <numFmt numFmtId="34" formatCode="_-* #,##0.00\ &quot;€&quot;_-;\-* #,##0.00\ &quot;€&quot;_-;_-* &quot;-&quot;??\ &quot;€&quot;_-;_-@_-"/>
      <fill>
        <patternFill patternType="solid">
          <fgColor indexed="64"/>
          <bgColor theme="8" tint="-0.499984740745262"/>
        </patternFill>
      </fill>
      <border diagonalUp="0" diagonalDown="0">
        <left style="medium">
          <color theme="8" tint="-0.499984740745262"/>
        </left>
        <right style="medium">
          <color theme="8" tint="-0.499984740745262"/>
        </right>
        <top/>
        <bottom/>
        <vertical style="medium">
          <color theme="8" tint="-0.499984740745262"/>
        </vertical>
        <horizontal/>
      </border>
      <protection locked="1" hidden="0"/>
    </dxf>
    <dxf>
      <font>
        <b/>
        <i val="0"/>
        <strike val="0"/>
        <condense val="0"/>
        <extend val="0"/>
        <outline val="0"/>
        <shadow val="0"/>
        <u val="none"/>
        <vertAlign val="baseline"/>
        <sz val="14"/>
        <color theme="0"/>
        <name val="Calibri"/>
        <family val="2"/>
        <scheme val="minor"/>
      </font>
      <numFmt numFmtId="34" formatCode="_-* #,##0.00\ &quot;€&quot;_-;\-* #,##0.00\ &quot;€&quot;_-;_-* &quot;-&quot;??\ &quot;€&quot;_-;_-@_-"/>
      <fill>
        <patternFill patternType="solid">
          <fgColor indexed="64"/>
          <bgColor theme="8" tint="-0.249977111117893"/>
        </patternFill>
      </fill>
      <alignment horizontal="left" vertical="center" textRotation="0" wrapText="0" indent="0" justifyLastLine="0" shrinkToFit="0" readingOrder="0"/>
      <border diagonalUp="0" diagonalDown="0">
        <left style="thin">
          <color theme="0"/>
        </left>
        <right style="thin">
          <color theme="0"/>
        </right>
        <top/>
        <bottom/>
      </border>
      <protection locked="1" hidden="0"/>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9" tint="0.39994506668294322"/>
        </patternFill>
      </fill>
    </dxf>
    <dxf>
      <fill>
        <patternFill>
          <bgColor theme="9"/>
        </patternFill>
      </fill>
    </dxf>
    <dxf>
      <fill>
        <patternFill>
          <bgColor theme="0" tint="-0.34998626667073579"/>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tint="0.39994506668294322"/>
        </patternFill>
      </fill>
    </dxf>
    <dxf>
      <fill>
        <patternFill>
          <bgColor theme="9"/>
        </patternFill>
      </fill>
    </dxf>
    <dxf>
      <fill>
        <patternFill>
          <bgColor theme="0" tint="-0.34998626667073579"/>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tint="0.39994506668294322"/>
        </patternFill>
      </fill>
    </dxf>
    <dxf>
      <fill>
        <patternFill>
          <bgColor theme="9"/>
        </patternFill>
      </fill>
    </dxf>
    <dxf>
      <fill>
        <patternFill>
          <bgColor theme="0" tint="-0.34998626667073579"/>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tint="0.39994506668294322"/>
        </patternFill>
      </fill>
    </dxf>
    <dxf>
      <fill>
        <patternFill>
          <bgColor theme="9"/>
        </patternFill>
      </fill>
    </dxf>
    <dxf>
      <fill>
        <patternFill>
          <bgColor theme="0" tint="-0.34998626667073579"/>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tint="0.39994506668294322"/>
        </patternFill>
      </fill>
    </dxf>
    <dxf>
      <fill>
        <patternFill>
          <bgColor theme="9"/>
        </patternFill>
      </fill>
    </dxf>
    <dxf>
      <fill>
        <patternFill>
          <bgColor theme="0" tint="-0.34998626667073579"/>
        </patternFill>
      </fill>
    </dxf>
    <dxf>
      <fill>
        <patternFill>
          <bgColor theme="7" tint="0.39994506668294322"/>
        </patternFill>
      </fill>
    </dxf>
    <dxf>
      <fill>
        <patternFill>
          <bgColor theme="7" tint="-0.24994659260841701"/>
        </patternFill>
      </fill>
    </dxf>
    <dxf>
      <font>
        <color rgb="FF9C0006"/>
      </font>
      <fill>
        <patternFill>
          <bgColor rgb="FFFFC7CE"/>
        </patternFill>
      </fill>
    </dxf>
    <dxf>
      <font>
        <b/>
        <sz val="14"/>
      </font>
      <numFmt numFmtId="14" formatCode="0.00%"/>
      <fill>
        <patternFill patternType="none">
          <fgColor indexed="64"/>
          <bgColor indexed="65"/>
        </patternFill>
      </fill>
      <alignment horizontal="general" vertical="center" textRotation="0" wrapText="0" indent="0" justifyLastLine="0" shrinkToFit="0" readingOrder="0"/>
      <border diagonalUp="0" diagonalDown="0">
        <left style="thin">
          <color theme="0"/>
        </left>
        <right/>
        <top/>
        <bottom style="thin">
          <color theme="0"/>
        </bottom>
        <vertical/>
        <horizontal/>
      </border>
    </dxf>
    <dxf>
      <font>
        <b/>
        <sz val="14"/>
      </font>
      <numFmt numFmtId="34" formatCode="_-* #,##0.00\ &quot;€&quot;_-;\-* #,##0.00\ &quot;€&quot;_-;_-* &quot;-&quot;??\ &quot;€&quot;_-;_-@_-"/>
      <fill>
        <patternFill patternType="none">
          <fgColor indexed="64"/>
          <bgColor indexed="65"/>
        </patternFill>
      </fill>
      <alignment horizontal="general" vertical="center" textRotation="0" wrapText="0" indent="0" justifyLastLine="0" shrinkToFit="0" readingOrder="0"/>
      <border diagonalUp="0" diagonalDown="0">
        <left style="thin">
          <color theme="0"/>
        </left>
        <right/>
        <top/>
        <bottom style="thin">
          <color theme="0"/>
        </bottom>
        <vertical/>
        <horizontal/>
      </border>
    </dxf>
    <dxf>
      <font>
        <b/>
        <sz val="14"/>
      </font>
      <fill>
        <patternFill patternType="none">
          <fgColor indexed="64"/>
          <bgColor indexed="65"/>
        </patternFill>
      </fill>
      <alignment horizontal="general" vertical="center" textRotation="0" wrapText="0" indent="0" justifyLastLine="0" shrinkToFit="0" readingOrder="0"/>
      <border diagonalUp="0" diagonalDown="0">
        <left/>
        <right/>
        <top/>
        <bottom style="thin">
          <color theme="0"/>
        </bottom>
        <vertical/>
        <horizontal/>
      </border>
    </dxf>
    <dxf>
      <font>
        <b/>
        <sz val="14"/>
        <color rgb="FFFF0000"/>
      </font>
      <numFmt numFmtId="34" formatCode="_-* #,##0.00\ &quot;€&quot;_-;\-* #,##0.00\ &quot;€&quot;_-;_-* &quot;-&quot;??\ &quot;€&quot;_-;_-@_-"/>
      <fill>
        <patternFill patternType="none">
          <fgColor indexed="64"/>
          <bgColor indexed="65"/>
        </patternFill>
      </fill>
      <alignment horizontal="general" vertical="center" textRotation="0" wrapText="0" indent="0" justifyLastLine="0" shrinkToFit="0" readingOrder="0"/>
      <border diagonalUp="0" diagonalDown="0">
        <left style="thin">
          <color theme="0"/>
        </left>
        <right/>
        <top/>
        <bottom style="thin">
          <color theme="0"/>
        </bottom>
        <vertical/>
        <horizontal/>
      </border>
    </dxf>
    <dxf>
      <font>
        <b/>
        <sz val="14"/>
      </font>
      <fill>
        <patternFill patternType="none">
          <fgColor indexed="64"/>
          <bgColor indexed="65"/>
        </patternFill>
      </fill>
      <alignment horizontal="general" vertical="center" textRotation="0" wrapText="0" indent="0" justifyLastLine="0" shrinkToFit="0" readingOrder="0"/>
      <border diagonalUp="0" diagonalDown="0">
        <left style="thin">
          <color theme="0"/>
        </left>
        <right/>
        <top/>
        <bottom style="thin">
          <color theme="0"/>
        </bottom>
        <vertical/>
        <horizontal/>
      </border>
    </dxf>
    <dxf>
      <font>
        <b/>
        <sz val="14"/>
      </font>
      <numFmt numFmtId="0" formatCode="General"/>
      <fill>
        <patternFill patternType="none">
          <fgColor indexed="64"/>
          <bgColor indexed="65"/>
        </patternFill>
      </fill>
    </dxf>
    <dxf>
      <border outline="0">
        <bottom style="thin">
          <color theme="0"/>
        </bottom>
      </border>
    </dxf>
    <dxf>
      <font>
        <b val="0"/>
        <i val="0"/>
        <strike val="0"/>
        <condense val="0"/>
        <extend val="0"/>
        <outline val="0"/>
        <shadow val="0"/>
        <u val="none"/>
        <vertAlign val="baseline"/>
        <sz val="14"/>
        <color theme="1"/>
        <name val="Calibri"/>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style="thin">
          <color theme="0"/>
        </left>
        <right style="thin">
          <color theme="0"/>
        </right>
        <top/>
        <bottom/>
      </border>
    </dxf>
    <dxf>
      <border>
        <top style="thin">
          <color theme="0"/>
        </top>
      </border>
    </dxf>
    <dxf>
      <font>
        <strike val="0"/>
        <outline val="0"/>
        <shadow val="0"/>
        <u val="none"/>
        <vertAlign val="baseline"/>
        <sz val="14"/>
        <name val="Calibri"/>
        <family val="2"/>
        <scheme val="minor"/>
      </font>
      <alignment vertical="center" textRotation="0" wrapText="0" indent="0" justifyLastLine="0" shrinkToFit="0" readingOrder="0"/>
      <border diagonalUp="0" diagonalDown="0">
        <left style="thin">
          <color theme="0"/>
        </left>
        <right style="thin">
          <color theme="0"/>
        </right>
        <top/>
        <bottom/>
        <vertical style="thin">
          <color theme="0"/>
        </vertical>
        <horizontal style="thin">
          <color theme="0"/>
        </horizontal>
      </border>
    </dxf>
    <dxf>
      <border diagonalUp="0" diagonalDown="0">
        <left style="thin">
          <color theme="0"/>
        </left>
        <right style="thin">
          <color theme="0"/>
        </right>
        <top style="thin">
          <color theme="0"/>
        </top>
        <bottom style="thin">
          <color theme="0"/>
        </bottom>
      </border>
    </dxf>
    <dxf>
      <font>
        <strike val="0"/>
        <outline val="0"/>
        <shadow val="0"/>
        <u val="none"/>
        <vertAlign val="baseline"/>
        <sz val="14"/>
        <name val="Calibri"/>
        <family val="2"/>
        <scheme val="minor"/>
      </font>
      <alignment vertical="center" textRotation="0" wrapText="0" indent="0" justifyLastLine="0" shrinkToFit="0" readingOrder="0"/>
    </dxf>
    <dxf>
      <border>
        <bottom style="thin">
          <color theme="0"/>
        </bottom>
      </border>
    </dxf>
    <dxf>
      <font>
        <strike val="0"/>
        <outline val="0"/>
        <shadow val="0"/>
        <u val="none"/>
        <vertAlign val="baseline"/>
        <sz val="14"/>
        <name val="Calibri"/>
        <family val="2"/>
        <scheme val="minor"/>
      </font>
      <alignment vertical="center" textRotation="0" wrapText="0" indent="0" justifyLastLine="0" shrinkToFit="0" readingOrder="0"/>
      <border diagonalUp="0" diagonalDown="0">
        <left style="thin">
          <color theme="0"/>
        </left>
        <right style="thin">
          <color theme="0"/>
        </right>
        <top/>
        <bottom/>
        <vertical style="thin">
          <color theme="0"/>
        </vertical>
        <horizontal style="thin">
          <color theme="0"/>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theme="9" tint="-0.24994659260841701"/>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C00000"/>
      </font>
      <fill>
        <patternFill>
          <bgColor rgb="FFFFC7CE"/>
        </patternFill>
      </fill>
    </dxf>
    <dxf>
      <font>
        <color rgb="FF006100"/>
      </font>
      <fill>
        <patternFill>
          <bgColor rgb="FFC6EFCE"/>
        </patternFill>
      </fill>
    </dxf>
    <dxf>
      <font>
        <b/>
        <i val="0"/>
        <color rgb="FFFF7C80"/>
      </font>
      <fill>
        <patternFill>
          <bgColor theme="8" tint="-0.499984740745262"/>
        </patternFill>
      </fill>
    </dxf>
    <dxf>
      <font>
        <color theme="9" tint="0.39994506668294322"/>
      </font>
      <fill>
        <patternFill>
          <bgColor theme="8" tint="-0.499984740745262"/>
        </patternFill>
      </fill>
    </dxf>
    <dxf>
      <font>
        <color rgb="FFFF3300"/>
      </font>
    </dxf>
    <dxf>
      <font>
        <color rgb="FF00B050"/>
      </font>
    </dxf>
    <dxf>
      <font>
        <color rgb="FF006100"/>
      </font>
      <fill>
        <patternFill>
          <bgColor rgb="FFC6EFCE"/>
        </patternFill>
      </fill>
    </dxf>
    <dxf>
      <font>
        <color rgb="FF9C0006"/>
      </font>
      <fill>
        <patternFill>
          <bgColor rgb="FFFFC7CE"/>
        </patternFill>
      </fill>
    </dxf>
    <dxf>
      <font>
        <color theme="9" tint="-0.24994659260841701"/>
      </font>
    </dxf>
    <dxf>
      <font>
        <color rgb="FFFF0000"/>
      </font>
    </dxf>
    <dxf>
      <border>
        <top style="thin">
          <color theme="0"/>
        </top>
      </border>
    </dxf>
    <dxf>
      <font>
        <strike val="0"/>
        <outline val="0"/>
        <shadow val="0"/>
        <u val="none"/>
        <vertAlign val="baseline"/>
        <sz val="14"/>
        <name val="Calibri"/>
        <family val="2"/>
        <scheme val="minor"/>
      </font>
      <alignment vertical="center" textRotation="0" wrapText="0" indent="0" justifyLastLine="0" shrinkToFit="0" readingOrder="0"/>
      <border diagonalUp="0" diagonalDown="0">
        <left style="thin">
          <color theme="0"/>
        </left>
        <right style="thin">
          <color theme="0"/>
        </right>
        <top/>
        <bottom/>
        <vertical style="thin">
          <color theme="0"/>
        </vertical>
        <horizontal style="thin">
          <color theme="0"/>
        </horizontal>
      </border>
    </dxf>
    <dxf>
      <border diagonalUp="0" diagonalDown="0">
        <left style="thin">
          <color theme="0"/>
        </left>
        <right style="thin">
          <color theme="0"/>
        </right>
        <top style="thin">
          <color theme="0"/>
        </top>
        <bottom style="thin">
          <color theme="0"/>
        </bottom>
      </border>
    </dxf>
    <dxf>
      <font>
        <strike val="0"/>
        <outline val="0"/>
        <shadow val="0"/>
        <u val="none"/>
        <vertAlign val="baseline"/>
        <sz val="14"/>
        <name val="Calibri"/>
        <family val="2"/>
        <scheme val="minor"/>
      </font>
      <alignment vertical="center" textRotation="0" wrapText="0" indent="0" justifyLastLine="0" shrinkToFit="0" readingOrder="0"/>
    </dxf>
    <dxf>
      <border>
        <bottom style="thin">
          <color theme="0"/>
        </bottom>
      </border>
    </dxf>
    <dxf>
      <font>
        <strike val="0"/>
        <outline val="0"/>
        <shadow val="0"/>
        <u val="none"/>
        <vertAlign val="baseline"/>
        <sz val="20"/>
        <color theme="1"/>
        <name val="Calibri"/>
        <family val="2"/>
        <scheme val="minor"/>
      </font>
      <alignment horizontal="center" vertical="center" textRotation="0" wrapText="0" indent="0" justifyLastLine="0" shrinkToFit="0" readingOrder="0"/>
      <border diagonalUp="0" diagonalDown="0" outline="0">
        <left style="thin">
          <color theme="0"/>
        </left>
        <right style="thin">
          <color theme="0"/>
        </right>
        <top/>
        <bottom/>
      </border>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ill>
        <patternFill>
          <bgColor theme="5"/>
        </patternFill>
      </fill>
    </dxf>
    <dxf>
      <fill>
        <patternFill>
          <bgColor theme="3" tint="0.39994506668294322"/>
        </patternFill>
      </fill>
    </dxf>
    <dxf>
      <fill>
        <patternFill>
          <bgColor theme="9" tint="-0.24994659260841701"/>
        </patternFill>
      </fill>
    </dxf>
    <dxf>
      <fill>
        <patternFill>
          <bgColor rgb="FF0070C0"/>
        </patternFill>
      </fill>
    </dxf>
    <dxf>
      <fill>
        <patternFill>
          <bgColor theme="7"/>
        </patternFill>
      </fill>
    </dxf>
    <dxf>
      <fill>
        <patternFill>
          <bgColor theme="0" tint="-0.24994659260841701"/>
        </patternFill>
      </fill>
    </dxf>
    <dxf>
      <fill>
        <patternFill>
          <bgColor theme="8" tint="0.59996337778862885"/>
        </patternFill>
      </fill>
    </dxf>
    <dxf>
      <fill>
        <patternFill>
          <bgColor theme="5"/>
        </patternFill>
      </fill>
    </dxf>
    <dxf>
      <fill>
        <patternFill>
          <bgColor theme="3"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
      <fill>
        <patternFill>
          <bgColor theme="7" tint="0.39994506668294322"/>
        </patternFill>
      </fill>
    </dxf>
    <dxf>
      <fill>
        <patternFill>
          <bgColor theme="7" tint="-0.24994659260841701"/>
        </patternFill>
      </fill>
    </dxf>
    <dxf>
      <fill>
        <patternFill>
          <bgColor theme="7" tint="0.39994506668294322"/>
        </patternFill>
      </fill>
    </dxf>
    <dxf>
      <fill>
        <patternFill>
          <bgColor theme="7" tint="-0.24994659260841701"/>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rgb="FF00CCFF"/>
        </patternFill>
      </fill>
    </dxf>
    <dxf>
      <fill>
        <patternFill>
          <bgColor theme="9"/>
        </patternFill>
      </fill>
    </dxf>
    <dxf>
      <fill>
        <patternFill>
          <bgColor theme="0" tint="-0.34998626667073579"/>
        </patternFill>
      </fill>
    </dxf>
    <dxf>
      <font>
        <b val="0"/>
        <i val="0"/>
        <strike val="0"/>
      </font>
      <numFmt numFmtId="0" formatCode="General"/>
      <fill>
        <patternFill>
          <bgColor theme="9" tint="0.59996337778862885"/>
        </patternFill>
      </fill>
    </dxf>
    <dxf>
      <fill>
        <patternFill>
          <bgColor rgb="FFFFFF00"/>
        </patternFill>
      </fill>
    </dxf>
    <dxf>
      <fill>
        <patternFill>
          <bgColor theme="3" tint="0.39994506668294322"/>
        </patternFill>
      </fill>
    </dxf>
    <dxf>
      <fill>
        <patternFill>
          <bgColor rgb="FF269DBE"/>
        </patternFill>
      </fill>
    </dxf>
    <dxf>
      <fill>
        <patternFill>
          <bgColor rgb="FFD2D0D0"/>
        </patternFill>
      </fill>
    </dxf>
    <dxf>
      <fill>
        <patternFill>
          <bgColor theme="5"/>
        </patternFill>
      </fill>
    </dxf>
    <dxf>
      <fill>
        <patternFill>
          <bgColor theme="7" tint="0.39994506668294322"/>
        </patternFill>
      </fill>
    </dxf>
    <dxf>
      <fill>
        <patternFill>
          <bgColor theme="7" tint="-0.24994659260841701"/>
        </patternFill>
      </fill>
    </dxf>
    <dxf>
      <fill>
        <patternFill>
          <bgColor theme="7" tint="0.39994506668294322"/>
        </patternFill>
      </fill>
    </dxf>
    <dxf>
      <fill>
        <patternFill>
          <bgColor theme="7" tint="-0.24994659260841701"/>
        </patternFill>
      </fill>
    </dxf>
    <dxf>
      <font>
        <color rgb="FF9C0006"/>
      </font>
      <fill>
        <patternFill>
          <bgColor rgb="FFFFC7CE"/>
        </patternFill>
      </fill>
    </dxf>
    <dxf>
      <fill>
        <patternFill>
          <bgColor theme="9"/>
        </patternFill>
      </fill>
    </dxf>
    <dxf>
      <fill>
        <patternFill>
          <bgColor theme="0" tint="-0.34998626667073579"/>
        </patternFill>
      </fill>
    </dxf>
    <dxf>
      <fill>
        <patternFill>
          <bgColor theme="9" tint="0.39994506668294322"/>
        </patternFill>
      </fill>
    </dxf>
  </dxfs>
  <tableStyles count="0" defaultTableStyle="TableStyleMedium2" defaultPivotStyle="PivotStyleLight16"/>
  <colors>
    <mruColors>
      <color rgb="FFFF9B9B"/>
      <color rgb="FFFF7171"/>
      <color rgb="FFFF0000"/>
      <color rgb="FFFF99FF"/>
      <color rgb="FFFF00FF"/>
      <color rgb="FF004CA8"/>
      <color rgb="FF004EAC"/>
      <color rgb="FF0063DA"/>
      <color rgb="FF0066E2"/>
      <color rgb="FF0061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5.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6.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PORTFOLIO BALANCE HISTORY</a:t>
            </a:r>
            <a:endParaRPr lang="sk-SK"/>
          </a:p>
        </c:rich>
      </c:tx>
      <c:layout>
        <c:manualLayout>
          <c:xMode val="edge"/>
          <c:yMode val="edge"/>
          <c:x val="0.34603513085576837"/>
          <c:y val="0"/>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sk-SK"/>
        </a:p>
      </c:txPr>
    </c:title>
    <c:autoTitleDeleted val="0"/>
    <c:plotArea>
      <c:layout>
        <c:manualLayout>
          <c:layoutTarget val="inner"/>
          <c:xMode val="edge"/>
          <c:yMode val="edge"/>
          <c:x val="9.3466531066185493E-2"/>
          <c:y val="7.0568267756539751E-2"/>
          <c:w val="0.90639175221304602"/>
          <c:h val="0.87448525868358873"/>
        </c:manualLayout>
      </c:layout>
      <c:lineChart>
        <c:grouping val="standard"/>
        <c:varyColors val="0"/>
        <c:ser>
          <c:idx val="0"/>
          <c:order val="0"/>
          <c:tx>
            <c:strRef>
              <c:f>Log_Data!$D$1</c:f>
              <c:strCache>
                <c:ptCount val="1"/>
                <c:pt idx="0">
                  <c:v> Current balance </c:v>
                </c:pt>
              </c:strCache>
            </c:strRef>
          </c:tx>
          <c:spPr>
            <a:ln w="317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sk-S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numRef>
              <c:f>Log_Data!$C$2:$C$99927</c:f>
              <c:numCache>
                <c:formatCode>m/d/yyyy</c:formatCode>
                <c:ptCount val="99926"/>
                <c:pt idx="0">
                  <c:v>44728.026041666664</c:v>
                </c:pt>
              </c:numCache>
            </c:numRef>
          </c:cat>
          <c:val>
            <c:numRef>
              <c:f>Log_Data!$D$2:$D$99927</c:f>
              <c:numCache>
                <c:formatCode>_("€"* #,##0.00_);_("€"* \(#,##0.00\);_("€"* "-"??_);_(@_)</c:formatCode>
                <c:ptCount val="99926"/>
                <c:pt idx="0" formatCode="&quot;€&quot;#,##0.00_);\(&quot;€&quot;#,##0.00\)">
                  <c:v>616.57000000000005</c:v>
                </c:pt>
              </c:numCache>
            </c:numRef>
          </c:val>
          <c:smooth val="0"/>
          <c:extLst>
            <c:ext xmlns:c16="http://schemas.microsoft.com/office/drawing/2014/chart" uri="{C3380CC4-5D6E-409C-BE32-E72D297353CC}">
              <c16:uniqueId val="{00000000-D01D-4546-815B-DAC401B64F9D}"/>
            </c:ext>
          </c:extLst>
        </c:ser>
        <c:ser>
          <c:idx val="1"/>
          <c:order val="1"/>
          <c:tx>
            <c:strRef>
              <c:f>Log_Data!$F$1</c:f>
              <c:strCache>
                <c:ptCount val="1"/>
                <c:pt idx="0">
                  <c:v> Investment </c:v>
                </c:pt>
              </c:strCache>
            </c:strRef>
          </c:tx>
          <c:spPr>
            <a:ln w="31750"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sk-S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numRef>
              <c:f>Log_Data!$C$2:$C$99927</c:f>
              <c:numCache>
                <c:formatCode>m/d/yyyy</c:formatCode>
                <c:ptCount val="99926"/>
                <c:pt idx="0">
                  <c:v>44728.026041666664</c:v>
                </c:pt>
              </c:numCache>
            </c:numRef>
          </c:cat>
          <c:val>
            <c:numRef>
              <c:f>Log_Data!$F$2:$F$99927</c:f>
              <c:numCache>
                <c:formatCode>_("€"* #,##0.00_);_("€"* \(#,##0.00\);_("€"* "-"??_);_(@_)</c:formatCode>
                <c:ptCount val="99926"/>
                <c:pt idx="0" formatCode="&quot;€&quot;#,##0.00_);\(&quot;€&quot;#,##0.00\)">
                  <c:v>1000</c:v>
                </c:pt>
              </c:numCache>
            </c:numRef>
          </c:val>
          <c:smooth val="0"/>
          <c:extLst>
            <c:ext xmlns:c16="http://schemas.microsoft.com/office/drawing/2014/chart" uri="{C3380CC4-5D6E-409C-BE32-E72D297353CC}">
              <c16:uniqueId val="{00000001-D01D-4546-815B-DAC401B64F9D}"/>
            </c:ext>
          </c:extLst>
        </c:ser>
        <c:dLbls>
          <c:dLblPos val="t"/>
          <c:showLegendKey val="0"/>
          <c:showVal val="1"/>
          <c:showCatName val="0"/>
          <c:showSerName val="0"/>
          <c:showPercent val="0"/>
          <c:showBubbleSize val="0"/>
        </c:dLbls>
        <c:smooth val="0"/>
        <c:axId val="892645264"/>
        <c:axId val="892642384"/>
      </c:lineChart>
      <c:dateAx>
        <c:axId val="892645264"/>
        <c:scaling>
          <c:orientation val="minMax"/>
        </c:scaling>
        <c:delete val="0"/>
        <c:axPos val="b"/>
        <c:numFmt formatCode="m/d/yyyy"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sk-SK"/>
          </a:p>
        </c:txPr>
        <c:crossAx val="892642384"/>
        <c:crosses val="autoZero"/>
        <c:auto val="1"/>
        <c:lblOffset val="100"/>
        <c:baseTimeUnit val="days"/>
      </c:dateAx>
      <c:valAx>
        <c:axId val="892642384"/>
        <c:scaling>
          <c:orientation val="minMax"/>
        </c:scaling>
        <c:delete val="0"/>
        <c:axPos val="l"/>
        <c:majorGridlines>
          <c:spPr>
            <a:ln w="9525" cap="flat" cmpd="sng" algn="ctr">
              <a:solidFill>
                <a:schemeClr val="tx2">
                  <a:lumMod val="15000"/>
                  <a:lumOff val="85000"/>
                </a:schemeClr>
              </a:solidFill>
              <a:round/>
            </a:ln>
            <a:effectLst/>
          </c:spPr>
        </c:majorGridlines>
        <c:numFmt formatCode="&quot;€&quot;#,##0.00_);\(&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sk-SK"/>
          </a:p>
        </c:txPr>
        <c:crossAx val="892645264"/>
        <c:crosses val="autoZero"/>
        <c:crossBetween val="between"/>
      </c:valAx>
      <c:spPr>
        <a:solidFill>
          <a:schemeClr val="bg1"/>
        </a:solidFill>
        <a:ln>
          <a:noFill/>
        </a:ln>
        <a:effectLst/>
      </c:spPr>
    </c:plotArea>
    <c:legend>
      <c:legendPos val="b"/>
      <c:layout>
        <c:manualLayout>
          <c:xMode val="edge"/>
          <c:yMode val="edge"/>
          <c:x val="0.69763961526244922"/>
          <c:y val="9.8068607133350804E-4"/>
          <c:w val="0.30028094740467215"/>
          <c:h val="5.095145568285587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sk-S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noFill/>
      <a:round/>
    </a:ln>
    <a:effectLst>
      <a:outerShdw blurRad="50800" dist="38100" dir="2700000" algn="tl" rotWithShape="0">
        <a:prstClr val="black">
          <a:alpha val="40000"/>
        </a:prstClr>
      </a:outerShdw>
    </a:effectLst>
  </c:spPr>
  <c:txPr>
    <a:bodyPr/>
    <a:lstStyle/>
    <a:p>
      <a:pPr>
        <a:defRPr/>
      </a:pPr>
      <a:endParaRPr lang="sk-S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PORTFOLIO</a:t>
            </a:r>
            <a:endParaRPr lang="sk-SK"/>
          </a:p>
        </c:rich>
      </c:tx>
      <c:layout>
        <c:manualLayout>
          <c:xMode val="edge"/>
          <c:yMode val="edge"/>
          <c:x val="9.874973464372484E-4"/>
          <c:y val="0.90732092450707813"/>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sk-SK"/>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7449629268989778"/>
          <c:y val="0.29467587469380552"/>
          <c:w val="0.4298953486375891"/>
          <c:h val="0.70458584331714469"/>
        </c:manualLayout>
      </c:layout>
      <c:pie3DChart>
        <c:varyColors val="1"/>
        <c:ser>
          <c:idx val="0"/>
          <c:order val="0"/>
          <c:explosion val="22"/>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AC20-4756-943B-08BB97DCEA4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AC20-4756-943B-08BB97DCEA4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AC20-4756-943B-08BB97DCEA4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AC20-4756-943B-08BB97DCEA4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C20-4756-943B-08BB97DCEA44}"/>
              </c:ext>
            </c:extLst>
          </c:dPt>
          <c:dPt>
            <c:idx val="5"/>
            <c:bubble3D val="0"/>
            <c:spPr>
              <a:solidFill>
                <a:schemeClr val="accent3">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B-AC20-4756-943B-08BB97DCEA44}"/>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D-AC20-4756-943B-08BB97DCEA44}"/>
              </c:ext>
            </c:extLst>
          </c:dPt>
          <c:dPt>
            <c:idx val="7"/>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F-AC20-4756-943B-08BB97DCEA44}"/>
              </c:ext>
            </c:extLst>
          </c:dPt>
          <c:dPt>
            <c:idx val="8"/>
            <c:bubble3D val="0"/>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1-AC20-4756-943B-08BB97DCEA44}"/>
              </c:ext>
            </c:extLst>
          </c:dPt>
          <c:dPt>
            <c:idx val="9"/>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C20-4756-943B-08BB97DCEA44}"/>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AC20-4756-943B-08BB97DCEA44}"/>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sk-SK"/>
              </a:p>
            </c:txPr>
            <c:dLblPos val="bestFit"/>
            <c:showLegendKey val="0"/>
            <c:showVal val="1"/>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Portfolio_Lite!$A$5:$A$8</c:f>
              <c:strCache>
                <c:ptCount val="3"/>
                <c:pt idx="0">
                  <c:v>btc</c:v>
                </c:pt>
                <c:pt idx="1">
                  <c:v>eth</c:v>
                </c:pt>
                <c:pt idx="2">
                  <c:v>eur</c:v>
                </c:pt>
              </c:strCache>
            </c:strRef>
          </c:cat>
          <c:val>
            <c:numRef>
              <c:f>Portfolio_Lite!$D$5:$D$8</c:f>
              <c:numCache>
                <c:formatCode>_("€"* #,##0.00_);_("€"* \(#,##0.00\);_("€"* "-"??_);_(@_)</c:formatCode>
                <c:ptCount val="3"/>
                <c:pt idx="0">
                  <c:v>361.35</c:v>
                </c:pt>
                <c:pt idx="1">
                  <c:v>259.81779999999998</c:v>
                </c:pt>
                <c:pt idx="2">
                  <c:v>0</c:v>
                </c:pt>
              </c:numCache>
            </c:numRef>
          </c:val>
          <c:extLst>
            <c:ext xmlns:c16="http://schemas.microsoft.com/office/drawing/2014/chart" uri="{C3380CC4-5D6E-409C-BE32-E72D297353CC}">
              <c16:uniqueId val="{00000016-AC20-4756-943B-08BB97DCEA44}"/>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sk-S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noFill/>
      <a:round/>
    </a:ln>
    <a:effectLst>
      <a:outerShdw blurRad="50800" dist="38100" dir="2700000" algn="tl" rotWithShape="0">
        <a:prstClr val="black">
          <a:alpha val="40000"/>
        </a:prstClr>
      </a:outerShdw>
    </a:effectLst>
  </c:spPr>
  <c:txPr>
    <a:bodyPr/>
    <a:lstStyle/>
    <a:p>
      <a:pPr>
        <a:defRPr/>
      </a:pPr>
      <a:endParaRPr lang="sk-S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PORTFOLIO</a:t>
            </a:r>
            <a:endParaRPr lang="sk-SK"/>
          </a:p>
        </c:rich>
      </c:tx>
      <c:layout>
        <c:manualLayout>
          <c:xMode val="edge"/>
          <c:yMode val="edge"/>
          <c:x val="0.36890070959548271"/>
          <c:y val="3.041164981703621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sk-SK"/>
        </a:p>
      </c:txPr>
    </c:title>
    <c:autoTitleDeleted val="0"/>
    <c:plotArea>
      <c:layout>
        <c:manualLayout>
          <c:layoutTarget val="inner"/>
          <c:xMode val="edge"/>
          <c:yMode val="edge"/>
          <c:x val="0.2843829305115626"/>
          <c:y val="0.22355087485177227"/>
          <c:w val="0.4298953486375891"/>
          <c:h val="0.70458584331714469"/>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3EA-4F7F-B737-784BCF71F4E3}"/>
              </c:ext>
            </c:extLst>
          </c:dPt>
          <c:dPt>
            <c:idx val="1"/>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673-4D2E-B253-6A2A26B62B2E}"/>
              </c:ext>
            </c:extLst>
          </c:dPt>
          <c:dPt>
            <c:idx val="2"/>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673-4D2E-B253-6A2A26B62B2E}"/>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sk-SK"/>
              </a:p>
            </c:txPr>
            <c:dLblPos val="bestFit"/>
            <c:showLegendKey val="0"/>
            <c:showVal val="1"/>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Portfolio_Pro!$A$7:$A$10</c:f>
              <c:strCache>
                <c:ptCount val="3"/>
                <c:pt idx="0">
                  <c:v>eur</c:v>
                </c:pt>
                <c:pt idx="1">
                  <c:v>btc</c:v>
                </c:pt>
                <c:pt idx="2">
                  <c:v>eth</c:v>
                </c:pt>
              </c:strCache>
            </c:strRef>
          </c:cat>
          <c:val>
            <c:numRef>
              <c:f>Portfolio_Pro!$D$7:$D$10</c:f>
              <c:numCache>
                <c:formatCode>_("€"* #,##0.00_);_("€"* \(#,##0.00\);_("€"* "-"??_);_(@_)</c:formatCode>
                <c:ptCount val="3"/>
                <c:pt idx="0">
                  <c:v>0</c:v>
                </c:pt>
                <c:pt idx="1">
                  <c:v>361.35</c:v>
                </c:pt>
                <c:pt idx="2">
                  <c:v>259.81779999999998</c:v>
                </c:pt>
              </c:numCache>
            </c:numRef>
          </c:val>
          <c:extLst>
            <c:ext xmlns:c16="http://schemas.microsoft.com/office/drawing/2014/chart" uri="{C3380CC4-5D6E-409C-BE32-E72D297353CC}">
              <c16:uniqueId val="{00000000-ACDB-48E3-80E8-B90457F222A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sk-S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dk1">
          <a:lumMod val="25000"/>
          <a:lumOff val="75000"/>
        </a:schemeClr>
      </a:solidFill>
      <a:round/>
    </a:ln>
    <a:effectLst/>
  </c:spPr>
  <c:txPr>
    <a:bodyPr/>
    <a:lstStyle/>
    <a:p>
      <a:pPr>
        <a:defRPr/>
      </a:pPr>
      <a:endParaRPr lang="sk-S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50000"/>
                  </a:schemeClr>
                </a:solidFill>
              </a:rPr>
              <a:t>PROFITS</a:t>
            </a:r>
            <a:r>
              <a:rPr lang="en-US" b="1" baseline="0">
                <a:solidFill>
                  <a:schemeClr val="accent5">
                    <a:lumMod val="50000"/>
                  </a:schemeClr>
                </a:solidFill>
              </a:rPr>
              <a:t> and ROI of individual assets</a:t>
            </a:r>
            <a:endParaRPr lang="sk-SK" b="1">
              <a:solidFill>
                <a:schemeClr val="accent5">
                  <a:lumMod val="50000"/>
                </a:schemeClr>
              </a:solidFill>
            </a:endParaRPr>
          </a:p>
        </c:rich>
      </c:tx>
      <c:layout>
        <c:manualLayout>
          <c:xMode val="edge"/>
          <c:yMode val="edge"/>
          <c:x val="0.30428001233317725"/>
          <c:y val="2.48084458266547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sk-SK"/>
        </a:p>
      </c:txPr>
    </c:title>
    <c:autoTitleDeleted val="0"/>
    <c:plotArea>
      <c:layout/>
      <c:barChart>
        <c:barDir val="col"/>
        <c:grouping val="clustered"/>
        <c:varyColors val="0"/>
        <c:ser>
          <c:idx val="0"/>
          <c:order val="0"/>
          <c:tx>
            <c:strRef>
              <c:f>Portfolio_Pro!$E$41</c:f>
              <c:strCache>
                <c:ptCount val="1"/>
                <c:pt idx="0">
                  <c:v>Profit</c:v>
                </c:pt>
              </c:strCache>
            </c:strRef>
          </c:tx>
          <c:spPr>
            <a:solidFill>
              <a:schemeClr val="accent1"/>
            </a:solidFill>
            <a:ln>
              <a:noFill/>
            </a:ln>
            <a:effectLst/>
          </c:spPr>
          <c:invertIfNegative val="0"/>
          <c:dLbls>
            <c:spPr>
              <a:solidFill>
                <a:schemeClr val="accent5">
                  <a:lumMod val="60000"/>
                  <a:lumOff val="40000"/>
                  <a:alpha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Portfolio_Pro!$A$45:$A$45</c:f>
              <c:strCache>
                <c:ptCount val="1"/>
                <c:pt idx="0">
                  <c:v>Total</c:v>
                </c:pt>
              </c:strCache>
            </c:strRef>
          </c:cat>
          <c:val>
            <c:numRef>
              <c:f>Portfolio_Pro!$E$42:$E$44</c:f>
              <c:numCache>
                <c:formatCode>_("€"* #,##0.00_);_("€"* \(#,##0.00\);_("€"* "-"??_);_(@_)</c:formatCode>
                <c:ptCount val="3"/>
                <c:pt idx="0">
                  <c:v>-138.65000000000009</c:v>
                </c:pt>
                <c:pt idx="1">
                  <c:v>-180.18219999999997</c:v>
                </c:pt>
                <c:pt idx="2">
                  <c:v>-60</c:v>
                </c:pt>
              </c:numCache>
            </c:numRef>
          </c:val>
          <c:extLst>
            <c:ext xmlns:c16="http://schemas.microsoft.com/office/drawing/2014/chart" uri="{C3380CC4-5D6E-409C-BE32-E72D297353CC}">
              <c16:uniqueId val="{00000004-62D9-4591-AA2C-894CFC6C60DB}"/>
            </c:ext>
          </c:extLst>
        </c:ser>
        <c:dLbls>
          <c:showLegendKey val="0"/>
          <c:showVal val="1"/>
          <c:showCatName val="0"/>
          <c:showSerName val="0"/>
          <c:showPercent val="0"/>
          <c:showBubbleSize val="0"/>
        </c:dLbls>
        <c:gapWidth val="75"/>
        <c:axId val="1004888912"/>
        <c:axId val="1004889232"/>
      </c:barChart>
      <c:lineChart>
        <c:grouping val="standard"/>
        <c:varyColors val="0"/>
        <c:ser>
          <c:idx val="1"/>
          <c:order val="1"/>
          <c:tx>
            <c:strRef>
              <c:f>Portfolio_Pro!$F$41</c:f>
              <c:strCache>
                <c:ptCount val="1"/>
                <c:pt idx="0">
                  <c:v>ROI</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solidFill>
                <a:schemeClr val="accent2">
                  <a:alpha val="37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Portfolio_Pro!$A$42:$A$44</c:f>
              <c:strCache>
                <c:ptCount val="3"/>
                <c:pt idx="0">
                  <c:v>btc</c:v>
                </c:pt>
                <c:pt idx="1">
                  <c:v>eth</c:v>
                </c:pt>
                <c:pt idx="2">
                  <c:v>eur</c:v>
                </c:pt>
              </c:strCache>
            </c:strRef>
          </c:cat>
          <c:val>
            <c:numRef>
              <c:f>Portfolio_Pro!$F$42:$F$44</c:f>
              <c:numCache>
                <c:formatCode>0.00%</c:formatCode>
                <c:ptCount val="3"/>
                <c:pt idx="0">
                  <c:v>-0.27729999999999999</c:v>
                </c:pt>
                <c:pt idx="1">
                  <c:v>-0.40950500000000001</c:v>
                </c:pt>
                <c:pt idx="2">
                  <c:v>0</c:v>
                </c:pt>
              </c:numCache>
            </c:numRef>
          </c:val>
          <c:smooth val="0"/>
          <c:extLst>
            <c:ext xmlns:c16="http://schemas.microsoft.com/office/drawing/2014/chart" uri="{C3380CC4-5D6E-409C-BE32-E72D297353CC}">
              <c16:uniqueId val="{00000005-62D9-4591-AA2C-894CFC6C60DB}"/>
            </c:ext>
          </c:extLst>
        </c:ser>
        <c:dLbls>
          <c:showLegendKey val="0"/>
          <c:showVal val="1"/>
          <c:showCatName val="0"/>
          <c:showSerName val="0"/>
          <c:showPercent val="0"/>
          <c:showBubbleSize val="0"/>
        </c:dLbls>
        <c:marker val="1"/>
        <c:smooth val="0"/>
        <c:axId val="664736336"/>
        <c:axId val="664734096"/>
      </c:lineChart>
      <c:catAx>
        <c:axId val="1004888912"/>
        <c:scaling>
          <c:orientation val="minMax"/>
        </c:scaling>
        <c:delete val="1"/>
        <c:axPos val="b"/>
        <c:numFmt formatCode="General" sourceLinked="1"/>
        <c:majorTickMark val="none"/>
        <c:minorTickMark val="none"/>
        <c:tickLblPos val="nextTo"/>
        <c:crossAx val="1004889232"/>
        <c:crosses val="autoZero"/>
        <c:auto val="1"/>
        <c:lblAlgn val="ctr"/>
        <c:lblOffset val="100"/>
        <c:noMultiLvlLbl val="0"/>
      </c:catAx>
      <c:valAx>
        <c:axId val="1004889232"/>
        <c:scaling>
          <c:orientation val="minMax"/>
        </c:scaling>
        <c:delete val="0"/>
        <c:axPos val="l"/>
        <c:numFmt formatCode="_(&quot;€&quot;* #,##0.00_);_(&quot;€&quot;* \(#,##0.00\);_(&quot;€&quot;* &quot;-&quot;??_);_(@_)" sourceLinked="1"/>
        <c:majorTickMark val="none"/>
        <c:minorTickMark val="none"/>
        <c:tickLblPos val="nextTo"/>
        <c:spPr>
          <a:solidFill>
            <a:schemeClr val="accent5">
              <a:lumMod val="75000"/>
              <a:alpha val="20000"/>
            </a:schemeClr>
          </a:solid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04888912"/>
        <c:crosses val="autoZero"/>
        <c:crossBetween val="between"/>
      </c:valAx>
      <c:valAx>
        <c:axId val="664734096"/>
        <c:scaling>
          <c:orientation val="minMax"/>
        </c:scaling>
        <c:delete val="0"/>
        <c:axPos val="r"/>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solidFill>
            <a:schemeClr val="accent2">
              <a:alpha val="20000"/>
            </a:schemeClr>
          </a:solid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664736336"/>
        <c:crosses val="max"/>
        <c:crossBetween val="between"/>
      </c:valAx>
      <c:catAx>
        <c:axId val="664736336"/>
        <c:scaling>
          <c:orientation val="minMax"/>
        </c:scaling>
        <c:delete val="0"/>
        <c:axPos val="t"/>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sk-SK"/>
          </a:p>
        </c:txPr>
        <c:crossAx val="664734096"/>
        <c:crosses val="max"/>
        <c:auto val="1"/>
        <c:lblAlgn val="ctr"/>
        <c:lblOffset val="100"/>
        <c:tickMarkSkip val="1"/>
        <c:noMultiLvlLbl val="0"/>
      </c:catAx>
      <c:spPr>
        <a:noFill/>
        <a:ln>
          <a:noFill/>
        </a:ln>
        <a:effectLst/>
      </c:spPr>
    </c:plotArea>
    <c:legend>
      <c:legendPos val="b"/>
      <c:layout>
        <c:manualLayout>
          <c:xMode val="edge"/>
          <c:yMode val="edge"/>
          <c:x val="0.7466007513191143"/>
          <c:y val="2.1585740966854694E-3"/>
          <c:w val="0.19180376949885622"/>
          <c:h val="5.698603707280548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legend>
    <c:plotVisOnly val="1"/>
    <c:dispBlanksAs val="gap"/>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50000"/>
                  </a:schemeClr>
                </a:solidFill>
              </a:rPr>
              <a:t>INVESTMENT and</a:t>
            </a:r>
            <a:r>
              <a:rPr lang="en-US" b="1" baseline="0">
                <a:solidFill>
                  <a:schemeClr val="accent5">
                    <a:lumMod val="50000"/>
                  </a:schemeClr>
                </a:solidFill>
              </a:rPr>
              <a:t> CURRENT BALANCE of individual assets</a:t>
            </a:r>
          </a:p>
        </c:rich>
      </c:tx>
      <c:overlay val="0"/>
      <c:spPr>
        <a:solidFill>
          <a:schemeClr val="accent5">
            <a:lumMod val="20000"/>
            <a:lumOff val="80000"/>
          </a:schemeClr>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sk-SK"/>
        </a:p>
      </c:txPr>
    </c:title>
    <c:autoTitleDeleted val="0"/>
    <c:plotArea>
      <c:layout>
        <c:manualLayout>
          <c:layoutTarget val="inner"/>
          <c:xMode val="edge"/>
          <c:yMode val="edge"/>
          <c:x val="0.10536652279047831"/>
          <c:y val="1.7015244810478395E-2"/>
          <c:w val="0.89463347720952169"/>
          <c:h val="0.80749173264734087"/>
        </c:manualLayout>
      </c:layout>
      <c:barChart>
        <c:barDir val="col"/>
        <c:grouping val="clustered"/>
        <c:varyColors val="0"/>
        <c:ser>
          <c:idx val="2"/>
          <c:order val="0"/>
          <c:tx>
            <c:strRef>
              <c:f>Portfolio_Pro!$B$41</c:f>
              <c:strCache>
                <c:ptCount val="1"/>
                <c:pt idx="0">
                  <c:v>Current Balance</c:v>
                </c:pt>
              </c:strCache>
            </c:strRef>
          </c:tx>
          <c:spPr>
            <a:solidFill>
              <a:schemeClr val="accent6"/>
            </a:solidFill>
            <a:ln>
              <a:noFill/>
            </a:ln>
            <a:effectLst/>
          </c:spPr>
          <c:invertIfNegative val="0"/>
          <c:cat>
            <c:strRef>
              <c:f>Portfolio_Pro!$A$42:$A$44</c:f>
              <c:strCache>
                <c:ptCount val="3"/>
                <c:pt idx="0">
                  <c:v>btc</c:v>
                </c:pt>
                <c:pt idx="1">
                  <c:v>eth</c:v>
                </c:pt>
                <c:pt idx="2">
                  <c:v>eur</c:v>
                </c:pt>
              </c:strCache>
            </c:strRef>
          </c:cat>
          <c:val>
            <c:numRef>
              <c:f>Portfolio_Pro!$B$42:$B$44</c:f>
              <c:numCache>
                <c:formatCode>_("€"* #,##0.00_);_("€"* \(#,##0.00\);_("€"* "-"??_);_(@_)</c:formatCode>
                <c:ptCount val="3"/>
                <c:pt idx="0">
                  <c:v>361.35</c:v>
                </c:pt>
                <c:pt idx="1">
                  <c:v>259.81779999999998</c:v>
                </c:pt>
                <c:pt idx="2">
                  <c:v>0</c:v>
                </c:pt>
              </c:numCache>
            </c:numRef>
          </c:val>
          <c:extLst>
            <c:ext xmlns:c16="http://schemas.microsoft.com/office/drawing/2014/chart" uri="{C3380CC4-5D6E-409C-BE32-E72D297353CC}">
              <c16:uniqueId val="{00000000-75D1-4B34-929D-B7A06C0CAC38}"/>
            </c:ext>
          </c:extLst>
        </c:ser>
        <c:ser>
          <c:idx val="0"/>
          <c:order val="1"/>
          <c:tx>
            <c:strRef>
              <c:f>Portfolio_Pro!$D$41</c:f>
              <c:strCache>
                <c:ptCount val="1"/>
                <c:pt idx="0">
                  <c:v>Investment</c:v>
                </c:pt>
              </c:strCache>
            </c:strRef>
          </c:tx>
          <c:spPr>
            <a:solidFill>
              <a:schemeClr val="accent2"/>
            </a:solidFill>
            <a:ln>
              <a:noFill/>
            </a:ln>
            <a:effectLst/>
          </c:spPr>
          <c:invertIfNegative val="0"/>
          <c:cat>
            <c:strRef>
              <c:f>Portfolio_Pro!$A$42:$A$44</c:f>
              <c:strCache>
                <c:ptCount val="3"/>
                <c:pt idx="0">
                  <c:v>btc</c:v>
                </c:pt>
                <c:pt idx="1">
                  <c:v>eth</c:v>
                </c:pt>
                <c:pt idx="2">
                  <c:v>eur</c:v>
                </c:pt>
              </c:strCache>
            </c:strRef>
          </c:cat>
          <c:val>
            <c:numRef>
              <c:f>Portfolio_Pro!$D$42:$D$44</c:f>
              <c:numCache>
                <c:formatCode>_("€"* #,##0.00_);_("€"* \(#,##0.00\);_("€"* "-"??_);_(@_)</c:formatCode>
                <c:ptCount val="3"/>
                <c:pt idx="0">
                  <c:v>500.00000000000011</c:v>
                </c:pt>
                <c:pt idx="1">
                  <c:v>439.99999999999994</c:v>
                </c:pt>
                <c:pt idx="2">
                  <c:v>60</c:v>
                </c:pt>
              </c:numCache>
            </c:numRef>
          </c:val>
          <c:extLst>
            <c:ext xmlns:c16="http://schemas.microsoft.com/office/drawing/2014/chart" uri="{C3380CC4-5D6E-409C-BE32-E72D297353CC}">
              <c16:uniqueId val="{00000000-B685-4AFB-9F15-B71D4D32E376}"/>
            </c:ext>
          </c:extLst>
        </c:ser>
        <c:dLbls>
          <c:showLegendKey val="0"/>
          <c:showVal val="0"/>
          <c:showCatName val="0"/>
          <c:showSerName val="0"/>
          <c:showPercent val="0"/>
          <c:showBubbleSize val="0"/>
        </c:dLbls>
        <c:gapWidth val="219"/>
        <c:axId val="827990136"/>
        <c:axId val="827990776"/>
      </c:barChart>
      <c:catAx>
        <c:axId val="827990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sk-SK"/>
          </a:p>
        </c:txPr>
        <c:crossAx val="827990776"/>
        <c:crosses val="autoZero"/>
        <c:auto val="1"/>
        <c:lblAlgn val="ctr"/>
        <c:lblOffset val="100"/>
        <c:noMultiLvlLbl val="0"/>
      </c:catAx>
      <c:valAx>
        <c:axId val="82799077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827990136"/>
        <c:crosses val="autoZero"/>
        <c:crossBetween val="between"/>
      </c:valAx>
      <c:spPr>
        <a:noFill/>
        <a:ln>
          <a:noFill/>
        </a:ln>
        <a:effectLst/>
      </c:spPr>
    </c:plotArea>
    <c:legend>
      <c:legendPos val="t"/>
      <c:layout>
        <c:manualLayout>
          <c:xMode val="edge"/>
          <c:yMode val="edge"/>
          <c:x val="0.75431995310102895"/>
          <c:y val="2.463517004787065E-2"/>
          <c:w val="0.21666590696395732"/>
          <c:h val="5.4157155669034729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Log_Data!$L$1</c:f>
          <c:strCache>
            <c:ptCount val="1"/>
            <c:pt idx="0">
              <c:v> eth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Log_Data!$L$1</c:f>
              <c:strCache>
                <c:ptCount val="1"/>
                <c:pt idx="0">
                  <c:v> eth </c:v>
                </c:pt>
              </c:strCache>
            </c:strRef>
          </c:tx>
          <c:spPr>
            <a:solidFill>
              <a:schemeClr val="accent1"/>
            </a:solidFill>
            <a:ln>
              <a:noFill/>
            </a:ln>
            <a:effectLst/>
          </c:spPr>
          <c:cat>
            <c:numRef>
              <c:f>Log_Data!$C$2:$C$99927</c:f>
              <c:numCache>
                <c:formatCode>m/d/yyyy</c:formatCode>
                <c:ptCount val="99926"/>
                <c:pt idx="0">
                  <c:v>44728.026041666664</c:v>
                </c:pt>
              </c:numCache>
            </c:numRef>
          </c:cat>
          <c:val>
            <c:numRef>
              <c:f>Log_Data!$L$2:$L$99927</c:f>
              <c:numCache>
                <c:formatCode>_("€"* #,##0.00_);_("€"* \(#,##0.00\);_("€"* "-"??_);_(@_)</c:formatCode>
                <c:ptCount val="99926"/>
                <c:pt idx="0">
                  <c:v>1173.79</c:v>
                </c:pt>
              </c:numCache>
            </c:numRef>
          </c:val>
          <c:extLst>
            <c:ext xmlns:c16="http://schemas.microsoft.com/office/drawing/2014/chart" uri="{C3380CC4-5D6E-409C-BE32-E72D297353CC}">
              <c16:uniqueId val="{00000000-7DCC-471C-BD72-DB453CFA9DD9}"/>
            </c:ext>
          </c:extLst>
        </c:ser>
        <c:dLbls>
          <c:showLegendKey val="0"/>
          <c:showVal val="0"/>
          <c:showCatName val="0"/>
          <c:showSerName val="0"/>
          <c:showPercent val="0"/>
          <c:showBubbleSize val="0"/>
        </c:dLbls>
        <c:axId val="1045339408"/>
        <c:axId val="1045338448"/>
      </c:areaChart>
      <c:date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Offset val="100"/>
        <c:baseTimeUnit val="days"/>
      </c:date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r>
              <a:rPr lang="en-US" b="1">
                <a:solidFill>
                  <a:schemeClr val="accent5">
                    <a:lumMod val="50000"/>
                  </a:schemeClr>
                </a:solidFill>
              </a:rPr>
              <a:t>PORTFOLIO</a:t>
            </a:r>
            <a:r>
              <a:rPr lang="en-US" b="1" baseline="0">
                <a:solidFill>
                  <a:schemeClr val="accent5">
                    <a:lumMod val="50000"/>
                  </a:schemeClr>
                </a:solidFill>
              </a:rPr>
              <a:t> BALANCE HISTORY</a:t>
            </a:r>
            <a:endParaRPr lang="sk-SK" b="1">
              <a:solidFill>
                <a:schemeClr val="accent5">
                  <a:lumMod val="50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manualLayout>
          <c:layoutTarget val="inner"/>
          <c:xMode val="edge"/>
          <c:yMode val="edge"/>
          <c:x val="3.3704001285553599E-2"/>
          <c:y val="4.6413669236705341E-2"/>
          <c:w val="0.92241847112860897"/>
          <c:h val="0.90205388883351612"/>
        </c:manualLayout>
      </c:layout>
      <c:lineChart>
        <c:grouping val="standard"/>
        <c:varyColors val="0"/>
        <c:ser>
          <c:idx val="0"/>
          <c:order val="0"/>
          <c:tx>
            <c:strRef>
              <c:f>Log_Data!$D$1</c:f>
              <c:strCache>
                <c:ptCount val="1"/>
                <c:pt idx="0">
                  <c:v> Current balance </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Log_Data!$C$2:$C$99966</c:f>
              <c:numCache>
                <c:formatCode>m/d/yyyy</c:formatCode>
                <c:ptCount val="99965"/>
                <c:pt idx="0">
                  <c:v>44728.026041666664</c:v>
                </c:pt>
              </c:numCache>
            </c:numRef>
          </c:cat>
          <c:val>
            <c:numRef>
              <c:f>Log_Data!$D$2:$D$99927</c:f>
              <c:numCache>
                <c:formatCode>_("€"* #,##0.00_);_("€"* \(#,##0.00\);_("€"* "-"??_);_(@_)</c:formatCode>
                <c:ptCount val="99926"/>
                <c:pt idx="0" formatCode="&quot;€&quot;#,##0.00_);\(&quot;€&quot;#,##0.00\)">
                  <c:v>616.57000000000005</c:v>
                </c:pt>
              </c:numCache>
            </c:numRef>
          </c:val>
          <c:smooth val="0"/>
          <c:extLst>
            <c:ext xmlns:c16="http://schemas.microsoft.com/office/drawing/2014/chart" uri="{C3380CC4-5D6E-409C-BE32-E72D297353CC}">
              <c16:uniqueId val="{00000000-C6C9-4928-B18C-73A0A8663057}"/>
            </c:ext>
          </c:extLst>
        </c:ser>
        <c:ser>
          <c:idx val="1"/>
          <c:order val="1"/>
          <c:tx>
            <c:strRef>
              <c:f>Log_Data!$F$1</c:f>
              <c:strCache>
                <c:ptCount val="1"/>
                <c:pt idx="0">
                  <c:v> Investment </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Log_Data!$C$2:$C$99966</c:f>
              <c:numCache>
                <c:formatCode>m/d/yyyy</c:formatCode>
                <c:ptCount val="99965"/>
                <c:pt idx="0">
                  <c:v>44728.026041666664</c:v>
                </c:pt>
              </c:numCache>
            </c:numRef>
          </c:cat>
          <c:val>
            <c:numRef>
              <c:f>Log_Data!$F$2:$F$99927</c:f>
              <c:numCache>
                <c:formatCode>_("€"* #,##0.00_);_("€"* \(#,##0.00\);_("€"* "-"??_);_(@_)</c:formatCode>
                <c:ptCount val="99926"/>
                <c:pt idx="0" formatCode="&quot;€&quot;#,##0.00_);\(&quot;€&quot;#,##0.00\)">
                  <c:v>1000</c:v>
                </c:pt>
              </c:numCache>
            </c:numRef>
          </c:val>
          <c:smooth val="0"/>
          <c:extLst>
            <c:ext xmlns:c16="http://schemas.microsoft.com/office/drawing/2014/chart" uri="{C3380CC4-5D6E-409C-BE32-E72D297353CC}">
              <c16:uniqueId val="{00000001-C6C9-4928-B18C-73A0A8663057}"/>
            </c:ext>
          </c:extLst>
        </c:ser>
        <c:dLbls>
          <c:dLblPos val="t"/>
          <c:showLegendKey val="0"/>
          <c:showVal val="1"/>
          <c:showCatName val="0"/>
          <c:showSerName val="0"/>
          <c:showPercent val="0"/>
          <c:showBubbleSize val="0"/>
        </c:dLbls>
        <c:smooth val="0"/>
        <c:axId val="892645264"/>
        <c:axId val="892642384"/>
      </c:lineChart>
      <c:dateAx>
        <c:axId val="892645264"/>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892642384"/>
        <c:crosses val="autoZero"/>
        <c:auto val="1"/>
        <c:lblOffset val="100"/>
        <c:baseTimeUnit val="days"/>
      </c:dateAx>
      <c:valAx>
        <c:axId val="89264238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892645264"/>
        <c:crosses val="autoZero"/>
        <c:crossBetween val="between"/>
      </c:valAx>
      <c:spPr>
        <a:solidFill>
          <a:schemeClr val="accent5">
            <a:lumMod val="20000"/>
            <a:lumOff val="80000"/>
          </a:schemeClr>
        </a:solidFill>
        <a:ln>
          <a:noFill/>
        </a:ln>
        <a:effectLst/>
      </c:spPr>
    </c:plotArea>
    <c:legend>
      <c:legendPos val="r"/>
      <c:layout>
        <c:manualLayout>
          <c:xMode val="edge"/>
          <c:yMode val="edge"/>
          <c:x val="0.67380819525764457"/>
          <c:y val="2.0410407162268344E-3"/>
          <c:w val="0.32460503901819437"/>
          <c:h val="7.353500109341465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Log_Data!$J$1</c:f>
          <c:strCache>
            <c:ptCount val="1"/>
            <c:pt idx="0">
              <c:v> eur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Log_Data!$J$1</c:f>
              <c:strCache>
                <c:ptCount val="1"/>
                <c:pt idx="0">
                  <c:v> eur </c:v>
                </c:pt>
              </c:strCache>
            </c:strRef>
          </c:tx>
          <c:spPr>
            <a:solidFill>
              <a:schemeClr val="accent1"/>
            </a:solidFill>
            <a:ln w="25400">
              <a:noFill/>
            </a:ln>
            <a:effectLst/>
          </c:spPr>
          <c:dLbls>
            <c:delete val="1"/>
          </c:dLbls>
          <c:cat>
            <c:numRef>
              <c:f>Log_Data!$C$2:$C$99927</c:f>
              <c:numCache>
                <c:formatCode>m/d/yyyy</c:formatCode>
                <c:ptCount val="99926"/>
                <c:pt idx="0">
                  <c:v>44728.026041666664</c:v>
                </c:pt>
              </c:numCache>
            </c:numRef>
          </c:cat>
          <c:val>
            <c:numRef>
              <c:f>Log_Data!$J$2:$J$99927</c:f>
              <c:numCache>
                <c:formatCode>_("€"* #,##0.00_);_("€"* \(#,##0.00\);_("€"* "-"??_);_(@_)</c:formatCode>
                <c:ptCount val="99926"/>
                <c:pt idx="0">
                  <c:v>1</c:v>
                </c:pt>
              </c:numCache>
            </c:numRef>
          </c:val>
          <c:extLst>
            <c:ext xmlns:c16="http://schemas.microsoft.com/office/drawing/2014/chart" uri="{C3380CC4-5D6E-409C-BE32-E72D297353CC}">
              <c16:uniqueId val="{00000002-FB9D-417D-9946-D688F17C22DB}"/>
            </c:ext>
          </c:extLst>
        </c:ser>
        <c:dLbls>
          <c:showLegendKey val="0"/>
          <c:showVal val="1"/>
          <c:showCatName val="0"/>
          <c:showSerName val="0"/>
          <c:showPercent val="0"/>
          <c:showBubbleSize val="0"/>
        </c:dLbls>
        <c:axId val="1045339408"/>
        <c:axId val="1045338448"/>
      </c:areaChart>
      <c:date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Offset val="100"/>
        <c:baseTimeUnit val="days"/>
      </c:date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showDLblsOverMax val="0"/>
    <c:extLst/>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Log_Data!$K$1</c:f>
          <c:strCache>
            <c:ptCount val="1"/>
            <c:pt idx="0">
              <c:v> btc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Log_Data!$K$1</c:f>
              <c:strCache>
                <c:ptCount val="1"/>
                <c:pt idx="0">
                  <c:v> btc </c:v>
                </c:pt>
              </c:strCache>
            </c:strRef>
          </c:tx>
          <c:spPr>
            <a:solidFill>
              <a:schemeClr val="accent1"/>
            </a:solidFill>
            <a:ln w="25400">
              <a:noFill/>
            </a:ln>
            <a:effectLst/>
          </c:spPr>
          <c:dLbls>
            <c:delete val="1"/>
          </c:dLbls>
          <c:cat>
            <c:numRef>
              <c:f>Log_Data!$C$2:$C$99927</c:f>
              <c:numCache>
                <c:formatCode>m/d/yyyy</c:formatCode>
                <c:ptCount val="99926"/>
                <c:pt idx="0">
                  <c:v>44728.026041666664</c:v>
                </c:pt>
              </c:numCache>
            </c:numRef>
          </c:cat>
          <c:val>
            <c:numRef>
              <c:f>Log_Data!$K$2:$K$99927</c:f>
              <c:numCache>
                <c:formatCode>_("€"* #,##0.00_);_("€"* \(#,##0.00\);_("€"* "-"??_);_(@_)</c:formatCode>
                <c:ptCount val="99926"/>
                <c:pt idx="0">
                  <c:v>21500</c:v>
                </c:pt>
              </c:numCache>
            </c:numRef>
          </c:val>
          <c:extLst>
            <c:ext xmlns:c16="http://schemas.microsoft.com/office/drawing/2014/chart" uri="{C3380CC4-5D6E-409C-BE32-E72D297353CC}">
              <c16:uniqueId val="{00000001-9CB9-462D-848D-DCBE27F0BC03}"/>
            </c:ext>
          </c:extLst>
        </c:ser>
        <c:dLbls>
          <c:showLegendKey val="0"/>
          <c:showVal val="1"/>
          <c:showCatName val="0"/>
          <c:showSerName val="0"/>
          <c:showPercent val="0"/>
          <c:showBubbleSize val="0"/>
        </c:dLbls>
        <c:axId val="1045339408"/>
        <c:axId val="1045338448"/>
      </c:areaChart>
      <c:date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Offset val="100"/>
        <c:baseTimeUnit val="days"/>
      </c:date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showDLblsOverMax val="0"/>
    <c:extLst/>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Log_Data!$O$1</c:f>
          <c:strCache>
            <c:ptCount val="1"/>
            <c:pt idx="0">
              <c:v> -   €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Log_Data!$O$1</c:f>
              <c:strCache>
                <c:ptCount val="1"/>
                <c:pt idx="0">
                  <c:v> -   € </c:v>
                </c:pt>
              </c:strCache>
            </c:strRef>
          </c:tx>
          <c:spPr>
            <a:solidFill>
              <a:schemeClr val="accent1"/>
            </a:solidFill>
            <a:ln w="25400">
              <a:noFill/>
            </a:ln>
            <a:effectLst/>
          </c:spPr>
          <c:dLbls>
            <c:delete val="1"/>
          </c:dLbls>
          <c:cat>
            <c:numRef>
              <c:f>Log_Data!$C$2:$C$99927</c:f>
              <c:numCache>
                <c:formatCode>m/d/yyyy</c:formatCode>
                <c:ptCount val="99926"/>
                <c:pt idx="0">
                  <c:v>44728.026041666664</c:v>
                </c:pt>
              </c:numCache>
            </c:numRef>
          </c:cat>
          <c:val>
            <c:numRef>
              <c:f>Log_Data!$O$2:$O$99927</c:f>
              <c:numCache>
                <c:formatCode>_("€"* #,##0.00_);_("€"* \(#,##0.00\);_("€"* "-"??_);_(@_)</c:formatCode>
                <c:ptCount val="99926"/>
                <c:pt idx="0">
                  <c:v>0</c:v>
                </c:pt>
              </c:numCache>
            </c:numRef>
          </c:val>
          <c:extLst>
            <c:ext xmlns:c16="http://schemas.microsoft.com/office/drawing/2014/chart" uri="{C3380CC4-5D6E-409C-BE32-E72D297353CC}">
              <c16:uniqueId val="{00000000-0C6F-401C-BA08-E99E6BCEDAC0}"/>
            </c:ext>
          </c:extLst>
        </c:ser>
        <c:dLbls>
          <c:showLegendKey val="0"/>
          <c:showVal val="1"/>
          <c:showCatName val="0"/>
          <c:showSerName val="0"/>
          <c:showPercent val="0"/>
          <c:showBubbleSize val="0"/>
        </c:dLbls>
        <c:axId val="1045339408"/>
        <c:axId val="1045338448"/>
      </c:areaChart>
      <c:date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Offset val="100"/>
        <c:baseTimeUnit val="days"/>
      </c:date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Log_Data!$M$1</c:f>
          <c:strCache>
            <c:ptCount val="1"/>
            <c:pt idx="0">
              <c:v> -   €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Log_Data!$M$1</c:f>
              <c:strCache>
                <c:ptCount val="1"/>
                <c:pt idx="0">
                  <c:v> -   € </c:v>
                </c:pt>
              </c:strCache>
            </c:strRef>
          </c:tx>
          <c:spPr>
            <a:solidFill>
              <a:schemeClr val="accent1"/>
            </a:solidFill>
            <a:ln w="25400">
              <a:noFill/>
            </a:ln>
            <a:effectLst/>
          </c:spPr>
          <c:dLbls>
            <c:delete val="1"/>
          </c:dLbls>
          <c:cat>
            <c:numRef>
              <c:f>Log_Data!$C$2:$C$99927</c:f>
              <c:numCache>
                <c:formatCode>m/d/yyyy</c:formatCode>
                <c:ptCount val="99926"/>
                <c:pt idx="0">
                  <c:v>44728.026041666664</c:v>
                </c:pt>
              </c:numCache>
            </c:numRef>
          </c:cat>
          <c:val>
            <c:numRef>
              <c:f>Log_Data!$M$2:$M$99927</c:f>
              <c:numCache>
                <c:formatCode>_("€"* #,##0.00_);_("€"* \(#,##0.00\);_("€"* "-"??_);_(@_)</c:formatCode>
                <c:ptCount val="99926"/>
                <c:pt idx="0">
                  <c:v>0</c:v>
                </c:pt>
              </c:numCache>
            </c:numRef>
          </c:val>
          <c:extLst>
            <c:ext xmlns:c16="http://schemas.microsoft.com/office/drawing/2014/chart" uri="{C3380CC4-5D6E-409C-BE32-E72D297353CC}">
              <c16:uniqueId val="{00000000-C57D-4413-A770-10E67901CFC6}"/>
            </c:ext>
          </c:extLst>
        </c:ser>
        <c:dLbls>
          <c:showLegendKey val="0"/>
          <c:showVal val="1"/>
          <c:showCatName val="0"/>
          <c:showSerName val="0"/>
          <c:showPercent val="0"/>
          <c:showBubbleSize val="0"/>
        </c:dLbls>
        <c:axId val="1045339408"/>
        <c:axId val="1045338448"/>
      </c:areaChart>
      <c:date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Offset val="100"/>
        <c:baseTimeUnit val="days"/>
      </c:date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showDLblsOverMax val="0"/>
    <c:extLst/>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Log_Data!$N$1</c:f>
          <c:strCache>
            <c:ptCount val="1"/>
            <c:pt idx="0">
              <c:v> -   €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Log_Data!$N$1</c:f>
              <c:strCache>
                <c:ptCount val="1"/>
                <c:pt idx="0">
                  <c:v> -   € </c:v>
                </c:pt>
              </c:strCache>
            </c:strRef>
          </c:tx>
          <c:spPr>
            <a:solidFill>
              <a:schemeClr val="accent1"/>
            </a:solidFill>
            <a:ln w="25400">
              <a:noFill/>
            </a:ln>
            <a:effectLst/>
          </c:spPr>
          <c:dLbls>
            <c:delete val="1"/>
          </c:dLbls>
          <c:cat>
            <c:numRef>
              <c:f>Log_Data!$C$2:$C$99927</c:f>
              <c:numCache>
                <c:formatCode>m/d/yyyy</c:formatCode>
                <c:ptCount val="99926"/>
                <c:pt idx="0">
                  <c:v>44728.026041666664</c:v>
                </c:pt>
              </c:numCache>
            </c:numRef>
          </c:cat>
          <c:val>
            <c:numRef>
              <c:f>Log_Data!$N$2:$N$99927</c:f>
              <c:numCache>
                <c:formatCode>_("€"* #,##0.00_);_("€"* \(#,##0.00\);_("€"* "-"??_);_(@_)</c:formatCode>
                <c:ptCount val="99926"/>
                <c:pt idx="0">
                  <c:v>0</c:v>
                </c:pt>
              </c:numCache>
            </c:numRef>
          </c:val>
          <c:extLst>
            <c:ext xmlns:c16="http://schemas.microsoft.com/office/drawing/2014/chart" uri="{C3380CC4-5D6E-409C-BE32-E72D297353CC}">
              <c16:uniqueId val="{00000000-279E-4E00-8CA2-2A367F2C7E9A}"/>
            </c:ext>
          </c:extLst>
        </c:ser>
        <c:dLbls>
          <c:showLegendKey val="0"/>
          <c:showVal val="1"/>
          <c:showCatName val="0"/>
          <c:showSerName val="0"/>
          <c:showPercent val="0"/>
          <c:showBubbleSize val="0"/>
        </c:dLbls>
        <c:axId val="1045339408"/>
        <c:axId val="1045338448"/>
      </c:areaChart>
      <c:date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Offset val="100"/>
        <c:baseTimeUnit val="days"/>
      </c:date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showDLblsOverMax val="0"/>
    <c:extLst/>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Log_Data!$R$1</c:f>
          <c:strCache>
            <c:ptCount val="1"/>
            <c:pt idx="0">
              <c:v> -   €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Log_Data!$R$1</c:f>
              <c:strCache>
                <c:ptCount val="1"/>
                <c:pt idx="0">
                  <c:v> -   € </c:v>
                </c:pt>
              </c:strCache>
            </c:strRef>
          </c:tx>
          <c:spPr>
            <a:solidFill>
              <a:schemeClr val="accent1"/>
            </a:solidFill>
            <a:ln w="25400">
              <a:noFill/>
            </a:ln>
            <a:effectLst/>
          </c:spPr>
          <c:cat>
            <c:numRef>
              <c:f>Log_Data!$C$2:$C$99927</c:f>
              <c:numCache>
                <c:formatCode>m/d/yyyy</c:formatCode>
                <c:ptCount val="99926"/>
                <c:pt idx="0">
                  <c:v>44728.026041666664</c:v>
                </c:pt>
              </c:numCache>
            </c:numRef>
          </c:cat>
          <c:val>
            <c:numRef>
              <c:f>Log_Data!$R$2:$R$99927</c:f>
              <c:numCache>
                <c:formatCode>_("€"* #,##0.00_);_("€"* \(#,##0.00\);_("€"* "-"??_);_(@_)</c:formatCode>
                <c:ptCount val="99926"/>
                <c:pt idx="0">
                  <c:v>0</c:v>
                </c:pt>
              </c:numCache>
            </c:numRef>
          </c:val>
          <c:extLst>
            <c:ext xmlns:c16="http://schemas.microsoft.com/office/drawing/2014/chart" uri="{C3380CC4-5D6E-409C-BE32-E72D297353CC}">
              <c16:uniqueId val="{00000000-BE85-4E01-A734-D43281509A8E}"/>
            </c:ext>
          </c:extLst>
        </c:ser>
        <c:dLbls>
          <c:showLegendKey val="0"/>
          <c:showVal val="0"/>
          <c:showCatName val="0"/>
          <c:showSerName val="0"/>
          <c:showPercent val="0"/>
          <c:showBubbleSize val="0"/>
        </c:dLbls>
        <c:axId val="1045339408"/>
        <c:axId val="1045338448"/>
      </c:areaChart>
      <c:date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Offset val="100"/>
        <c:baseTimeUnit val="days"/>
      </c:date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Log_Data!$P$1</c:f>
          <c:strCache>
            <c:ptCount val="1"/>
            <c:pt idx="0">
              <c:v> -   €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Log_Data!$P$1</c:f>
              <c:strCache>
                <c:ptCount val="1"/>
                <c:pt idx="0">
                  <c:v> -   € </c:v>
                </c:pt>
              </c:strCache>
            </c:strRef>
          </c:tx>
          <c:spPr>
            <a:solidFill>
              <a:schemeClr val="accent1"/>
            </a:solidFill>
            <a:ln w="25400">
              <a:noFill/>
            </a:ln>
            <a:effectLst/>
          </c:spPr>
          <c:cat>
            <c:numRef>
              <c:f>Log_Data!$C$2:$C$99927</c:f>
              <c:numCache>
                <c:formatCode>m/d/yyyy</c:formatCode>
                <c:ptCount val="99926"/>
                <c:pt idx="0">
                  <c:v>44728.026041666664</c:v>
                </c:pt>
              </c:numCache>
            </c:numRef>
          </c:cat>
          <c:val>
            <c:numRef>
              <c:f>Log_Data!$P$2:$P$99927</c:f>
              <c:numCache>
                <c:formatCode>_("€"* #,##0.00_);_("€"* \(#,##0.00\);_("€"* "-"??_);_(@_)</c:formatCode>
                <c:ptCount val="99926"/>
                <c:pt idx="0">
                  <c:v>0</c:v>
                </c:pt>
              </c:numCache>
            </c:numRef>
          </c:val>
          <c:extLst>
            <c:ext xmlns:c16="http://schemas.microsoft.com/office/drawing/2014/chart" uri="{C3380CC4-5D6E-409C-BE32-E72D297353CC}">
              <c16:uniqueId val="{00000000-CEFA-4257-BB85-6B1640DC1739}"/>
            </c:ext>
          </c:extLst>
        </c:ser>
        <c:dLbls>
          <c:showLegendKey val="0"/>
          <c:showVal val="0"/>
          <c:showCatName val="0"/>
          <c:showSerName val="0"/>
          <c:showPercent val="0"/>
          <c:showBubbleSize val="0"/>
        </c:dLbls>
        <c:axId val="1045339408"/>
        <c:axId val="1045338448"/>
      </c:areaChart>
      <c:date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Offset val="100"/>
        <c:baseTimeUnit val="days"/>
      </c:date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showDLblsOverMax val="0"/>
    <c:extLst/>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Log_Data!$Q$1</c:f>
          <c:strCache>
            <c:ptCount val="1"/>
            <c:pt idx="0">
              <c:v> -   €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Log_Data!$Q$1</c:f>
              <c:strCache>
                <c:ptCount val="1"/>
                <c:pt idx="0">
                  <c:v> -   € </c:v>
                </c:pt>
              </c:strCache>
            </c:strRef>
          </c:tx>
          <c:spPr>
            <a:solidFill>
              <a:schemeClr val="accent1"/>
            </a:solidFill>
            <a:ln w="25400">
              <a:noFill/>
            </a:ln>
            <a:effectLst/>
          </c:spPr>
          <c:dLbls>
            <c:delete val="1"/>
          </c:dLbls>
          <c:cat>
            <c:numRef>
              <c:f>Log_Data!$C$2:$C$99927</c:f>
              <c:numCache>
                <c:formatCode>m/d/yyyy</c:formatCode>
                <c:ptCount val="99926"/>
                <c:pt idx="0">
                  <c:v>44728.026041666664</c:v>
                </c:pt>
              </c:numCache>
            </c:numRef>
          </c:cat>
          <c:val>
            <c:numRef>
              <c:f>Log_Data!$Q$2:$Q$99927</c:f>
              <c:numCache>
                <c:formatCode>_("€"* #,##0.00_);_("€"* \(#,##0.00\);_("€"* "-"??_);_(@_)</c:formatCode>
                <c:ptCount val="99926"/>
                <c:pt idx="0">
                  <c:v>0</c:v>
                </c:pt>
              </c:numCache>
            </c:numRef>
          </c:val>
          <c:extLst>
            <c:ext xmlns:c16="http://schemas.microsoft.com/office/drawing/2014/chart" uri="{C3380CC4-5D6E-409C-BE32-E72D297353CC}">
              <c16:uniqueId val="{00000000-E278-4666-9613-5F756ABD4366}"/>
            </c:ext>
          </c:extLst>
        </c:ser>
        <c:dLbls>
          <c:showLegendKey val="0"/>
          <c:showVal val="1"/>
          <c:showCatName val="0"/>
          <c:showSerName val="0"/>
          <c:showPercent val="0"/>
          <c:showBubbleSize val="0"/>
        </c:dLbls>
        <c:axId val="1045339408"/>
        <c:axId val="1045338448"/>
      </c:areaChart>
      <c:date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Offset val="100"/>
        <c:baseTimeUnit val="days"/>
      </c:date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showDLblsOverMax val="0"/>
    <c:extLst/>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Log_Data!$S$1</c:f>
          <c:strCache>
            <c:ptCount val="1"/>
            <c:pt idx="0">
              <c:v> -   € </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5">
                  <a:lumMod val="50000"/>
                </a:schemeClr>
              </a:solidFill>
              <a:latin typeface="+mn-lt"/>
              <a:ea typeface="+mn-ea"/>
              <a:cs typeface="+mn-cs"/>
            </a:defRPr>
          </a:pPr>
          <a:endParaRPr lang="sk-SK"/>
        </a:p>
      </c:txPr>
    </c:title>
    <c:autoTitleDeleted val="0"/>
    <c:plotArea>
      <c:layout/>
      <c:areaChart>
        <c:grouping val="standard"/>
        <c:varyColors val="0"/>
        <c:ser>
          <c:idx val="0"/>
          <c:order val="0"/>
          <c:tx>
            <c:strRef>
              <c:f>Log_Data!$S$1</c:f>
              <c:strCache>
                <c:ptCount val="1"/>
                <c:pt idx="0">
                  <c:v> -   € </c:v>
                </c:pt>
              </c:strCache>
            </c:strRef>
          </c:tx>
          <c:spPr>
            <a:solidFill>
              <a:schemeClr val="accent1"/>
            </a:solidFill>
            <a:ln w="25400">
              <a:noFill/>
            </a:ln>
            <a:effectLst/>
          </c:spPr>
          <c:dLbls>
            <c:delete val="1"/>
          </c:dLbls>
          <c:cat>
            <c:numRef>
              <c:f>Log_Data!$C$2:$C$99927</c:f>
              <c:numCache>
                <c:formatCode>m/d/yyyy</c:formatCode>
                <c:ptCount val="99926"/>
                <c:pt idx="0">
                  <c:v>44728.026041666664</c:v>
                </c:pt>
              </c:numCache>
            </c:numRef>
          </c:cat>
          <c:val>
            <c:numRef>
              <c:f>Log_Data!$S$2:$S$99927</c:f>
              <c:numCache>
                <c:formatCode>_("€"* #,##0.00_);_("€"* \(#,##0.00\);_("€"* "-"??_);_(@_)</c:formatCode>
                <c:ptCount val="99926"/>
                <c:pt idx="0">
                  <c:v>0</c:v>
                </c:pt>
              </c:numCache>
            </c:numRef>
          </c:val>
          <c:extLst>
            <c:ext xmlns:c16="http://schemas.microsoft.com/office/drawing/2014/chart" uri="{C3380CC4-5D6E-409C-BE32-E72D297353CC}">
              <c16:uniqueId val="{00000000-2E38-4D01-8A10-1983DCDC7CD2}"/>
            </c:ext>
          </c:extLst>
        </c:ser>
        <c:dLbls>
          <c:showLegendKey val="0"/>
          <c:showVal val="1"/>
          <c:showCatName val="0"/>
          <c:showSerName val="0"/>
          <c:showPercent val="0"/>
          <c:showBubbleSize val="0"/>
        </c:dLbls>
        <c:axId val="1045339408"/>
        <c:axId val="1045338448"/>
      </c:areaChart>
      <c:dateAx>
        <c:axId val="1045339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8448"/>
        <c:crosses val="autoZero"/>
        <c:auto val="1"/>
        <c:lblOffset val="100"/>
        <c:baseTimeUnit val="days"/>
      </c:dateAx>
      <c:valAx>
        <c:axId val="1045338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sk-SK"/>
          </a:p>
        </c:txPr>
        <c:crossAx val="1045339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sk-SK"/>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EUR DEPOSITS / WITHDRAWALS</cx:v>
        </cx:txData>
      </cx:tx>
      <cx:txPr>
        <a:bodyPr spcFirstLastPara="1" vertOverflow="ellipsis" horzOverflow="overflow" wrap="square" lIns="0" tIns="0" rIns="0" bIns="0" anchor="ctr" anchorCtr="1"/>
        <a:lstStyle/>
        <a:p>
          <a:pPr algn="ctr" rtl="0">
            <a:defRPr b="1">
              <a:solidFill>
                <a:schemeClr val="accent5">
                  <a:lumMod val="50000"/>
                </a:schemeClr>
              </a:solidFill>
            </a:defRPr>
          </a:pPr>
          <a:r>
            <a:rPr lang="en-US" sz="1400" b="1" i="0" u="none" strike="noStrike" baseline="0">
              <a:solidFill>
                <a:schemeClr val="accent5">
                  <a:lumMod val="50000"/>
                </a:schemeClr>
              </a:solidFill>
              <a:latin typeface="Calibri" panose="020F0502020204030204"/>
            </a:rPr>
            <a:t>EUR DEPOSITS / WITHDRAWALS</a:t>
          </a:r>
        </a:p>
      </cx:txPr>
    </cx:title>
    <cx:plotArea>
      <cx:plotAreaRegion>
        <cx:series layoutId="waterfall" uniqueId="{0437030C-A7C6-4D2F-93CE-A86C12C68CCF}">
          <cx:tx>
            <cx:txData>
              <cx:f>_xlchart.v1.1</cx:f>
              <cx:v> Value </cx:v>
            </cx:txData>
          </cx:tx>
          <cx:dataLabels pos="outEnd">
            <cx:visibility seriesName="0" categoryName="0" value="1"/>
          </cx:dataLabels>
          <cx:dataId val="0"/>
          <cx:layoutPr>
            <cx:subtotals/>
          </cx:layoutPr>
        </cx:series>
      </cx:plotAreaRegion>
      <cx:axis id="0">
        <cx:catScaling gapWidth="0.5"/>
        <cx:tickLabels/>
      </cx:axis>
      <cx:axis id="1">
        <cx:valScaling/>
        <cx:majorGridlines/>
        <cx:tickLabels/>
      </cx:axis>
    </cx:plotArea>
    <cx:legend pos="t" align="ctr" overlay="0"/>
  </cx:chart>
  <cx:spPr>
    <a:solidFill>
      <a:schemeClr val="accent5">
        <a:lumMod val="20000"/>
        <a:lumOff val="80000"/>
      </a:schemeClr>
    </a:solid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_xlchart.v1.5</cx:f>
      </cx:numDim>
    </cx:data>
  </cx:chartData>
  <cx:chart>
    <cx:title pos="t" align="ctr" overlay="0">
      <cx:tx>
        <cx:txData>
          <cx:v>ALL DEPOSITS (eur+crypto) / WITHDRAWALS</cx:v>
        </cx:txData>
      </cx:tx>
      <cx:txPr>
        <a:bodyPr spcFirstLastPara="1" vertOverflow="ellipsis" horzOverflow="overflow" wrap="square" lIns="0" tIns="0" rIns="0" bIns="0" anchor="ctr" anchorCtr="1"/>
        <a:lstStyle/>
        <a:p>
          <a:pPr algn="ctr" rtl="0">
            <a:defRPr b="1">
              <a:solidFill>
                <a:schemeClr val="accent5">
                  <a:lumMod val="50000"/>
                </a:schemeClr>
              </a:solidFill>
            </a:defRPr>
          </a:pPr>
          <a:r>
            <a:rPr lang="en-US" sz="1400" b="1" i="0" u="none" strike="noStrike" baseline="0">
              <a:solidFill>
                <a:schemeClr val="accent5">
                  <a:lumMod val="50000"/>
                </a:schemeClr>
              </a:solidFill>
              <a:latin typeface="Calibri" panose="020F0502020204030204"/>
            </a:rPr>
            <a:t>ALL DEPOSITS (eur+crypto) / WITHDRAWALS</a:t>
          </a:r>
        </a:p>
      </cx:txPr>
    </cx:title>
    <cx:plotArea>
      <cx:plotAreaRegion>
        <cx:series layoutId="waterfall" uniqueId="{0437030C-A7C6-4D2F-93CE-A86C12C68CCF}">
          <cx:tx>
            <cx:txData>
              <cx:f>_xlchart.v1.4</cx:f>
              <cx:v> Value </cx:v>
            </cx:txData>
          </cx:tx>
          <cx:dataLabels pos="outEnd">
            <cx:visibility seriesName="0" categoryName="0" value="1"/>
          </cx:dataLabels>
          <cx:dataId val="0"/>
          <cx:layoutPr>
            <cx:subtotals/>
          </cx:layoutPr>
        </cx:series>
      </cx:plotAreaRegion>
      <cx:axis id="0">
        <cx:catScaling gapWidth="0.5"/>
        <cx:tickLabels/>
      </cx:axis>
      <cx:axis id="1">
        <cx:valScaling/>
        <cx:majorGridlines/>
        <cx:tickLabels/>
      </cx:axis>
    </cx:plotArea>
    <cx:legend pos="t" align="ctr" overlay="0"/>
  </cx:chart>
  <cx:spPr>
    <a:solidFill>
      <a:schemeClr val="accent5">
        <a:lumMod val="20000"/>
        <a:lumOff val="80000"/>
      </a:schemeClr>
    </a:solidFill>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size">
        <cx:f>_xlchart.v1.7</cx:f>
      </cx:numDim>
    </cx:data>
  </cx:chartData>
  <cx:chart>
    <cx:title pos="t" align="ctr" overlay="0">
      <cx:tx>
        <cx:txData>
          <cx:v>Market cap. of top 200</cx:v>
        </cx:txData>
      </cx:tx>
      <cx:txPr>
        <a:bodyPr spcFirstLastPara="1" vertOverflow="ellipsis" horzOverflow="overflow" wrap="square" lIns="0" tIns="0" rIns="0" bIns="0" anchor="ctr" anchorCtr="1"/>
        <a:lstStyle/>
        <a:p>
          <a:pPr algn="ctr" rtl="0">
            <a:defRPr>
              <a:solidFill>
                <a:schemeClr val="accent5">
                  <a:lumMod val="50000"/>
                </a:schemeClr>
              </a:solidFill>
            </a:defRPr>
          </a:pPr>
          <a:r>
            <a:rPr lang="en-US" sz="1600" b="1" i="0" u="none" strike="noStrike" baseline="0">
              <a:solidFill>
                <a:schemeClr val="accent5">
                  <a:lumMod val="50000"/>
                </a:schemeClr>
              </a:solidFill>
              <a:latin typeface="Calibri" panose="020F0502020204030204"/>
            </a:rPr>
            <a:t>Market cap. of top 200</a:t>
          </a:r>
        </a:p>
      </cx:txPr>
    </cx:title>
    <cx:plotArea>
      <cx:plotAreaRegion>
        <cx:series layoutId="treemap" uniqueId="{9D8F034D-B778-4ADB-8A0B-ECB065728831}">
          <cx:tx>
            <cx:txData>
              <cx:f/>
              <cx:v/>
            </cx:txData>
          </cx:tx>
          <cx:dataPt idx="1">
            <cx:spPr>
              <a:solidFill>
                <a:srgbClr val="ED7D31"/>
              </a:solidFill>
            </cx:spPr>
          </cx:dataPt>
          <cx:dataPt idx="2">
            <cx:spPr>
              <a:solidFill>
                <a:srgbClr val="5B9BD5">
                  <a:lumMod val="75000"/>
                </a:srgbClr>
              </a:solidFill>
            </cx:spPr>
          </cx:dataPt>
          <cx:dataLabels>
            <cx:visibility seriesName="0" categoryName="1" value="0"/>
          </cx:dataLabels>
          <cx:dataId val="0"/>
          <cx:layoutPr>
            <cx:parentLabelLayout val="overlapping"/>
          </cx:layoutPr>
        </cx:series>
      </cx:plotAreaRegion>
    </cx:plotArea>
  </cx:chart>
  <cx:spPr>
    <a:solidFill>
      <a:schemeClr val="accent5">
        <a:lumMod val="20000"/>
        <a:lumOff val="80000"/>
      </a:schemeClr>
    </a:soli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3" Type="http://schemas.microsoft.com/office/2014/relationships/chartEx" Target="../charts/chartEx2.xml"/><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chart" Target="../charts/chart16.xml"/><Relationship Id="rId2" Type="http://schemas.openxmlformats.org/officeDocument/2006/relationships/chart" Target="../charts/chart3.xml"/><Relationship Id="rId16" Type="http://schemas.openxmlformats.org/officeDocument/2006/relationships/chart" Target="../charts/chart15.xml"/><Relationship Id="rId1" Type="http://schemas.microsoft.com/office/2014/relationships/chartEx" Target="../charts/chartEx1.xml"/><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5" Type="http://schemas.openxmlformats.org/officeDocument/2006/relationships/chart" Target="../charts/chart14.xml"/><Relationship Id="rId10" Type="http://schemas.openxmlformats.org/officeDocument/2006/relationships/chart" Target="../charts/chart9.xml"/><Relationship Id="rId4" Type="http://schemas.microsoft.com/office/2014/relationships/chartEx" Target="../charts/chartEx3.xml"/><Relationship Id="rId9" Type="http://schemas.openxmlformats.org/officeDocument/2006/relationships/chart" Target="../charts/chart8.xml"/><Relationship Id="rId14"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9.emf"/><Relationship Id="rId1" Type="http://schemas.openxmlformats.org/officeDocument/2006/relationships/image" Target="../media/image10.emf"/><Relationship Id="rId5" Type="http://schemas.openxmlformats.org/officeDocument/2006/relationships/image" Target="../media/image6.emf"/><Relationship Id="rId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 Id="rId5" Type="http://schemas.openxmlformats.org/officeDocument/2006/relationships/image" Target="../media/image11.emf"/><Relationship Id="rId4"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image" Target="../media/image16.emf"/><Relationship Id="rId2" Type="http://schemas.openxmlformats.org/officeDocument/2006/relationships/image" Target="../media/image21.emf"/><Relationship Id="rId1" Type="http://schemas.openxmlformats.org/officeDocument/2006/relationships/image" Target="../media/image22.emf"/><Relationship Id="rId6" Type="http://schemas.openxmlformats.org/officeDocument/2006/relationships/image" Target="../media/image17.emf"/><Relationship Id="rId5" Type="http://schemas.openxmlformats.org/officeDocument/2006/relationships/image" Target="../media/image18.emf"/><Relationship Id="rId4" Type="http://schemas.openxmlformats.org/officeDocument/2006/relationships/image" Target="../media/image1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15</xdr:col>
      <xdr:colOff>177451</xdr:colOff>
      <xdr:row>28</xdr:row>
      <xdr:rowOff>163842</xdr:rowOff>
    </xdr:from>
    <xdr:to>
      <xdr:col>15</xdr:col>
      <xdr:colOff>177451</xdr:colOff>
      <xdr:row>31</xdr:row>
      <xdr:rowOff>105899</xdr:rowOff>
    </xdr:to>
    <xdr:cxnSp macro="">
      <xdr:nvCxnSpPr>
        <xdr:cNvPr id="12" name="Straight Connector 11">
          <a:extLst>
            <a:ext uri="{FF2B5EF4-FFF2-40B4-BE49-F238E27FC236}">
              <a16:creationId xmlns:a16="http://schemas.microsoft.com/office/drawing/2014/main" id="{00000000-0008-0000-0000-00000C000000}"/>
            </a:ext>
          </a:extLst>
        </xdr:cNvPr>
        <xdr:cNvCxnSpPr>
          <a:cxnSpLocks/>
        </xdr:cNvCxnSpPr>
      </xdr:nvCxnSpPr>
      <xdr:spPr>
        <a:xfrm>
          <a:off x="10257622" y="5345442"/>
          <a:ext cx="0" cy="682286"/>
        </a:xfrm>
        <a:prstGeom prst="line">
          <a:avLst/>
        </a:prstGeom>
        <a:ln>
          <a:solidFill>
            <a:schemeClr val="bg1"/>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15</xdr:col>
      <xdr:colOff>161922</xdr:colOff>
      <xdr:row>28</xdr:row>
      <xdr:rowOff>175431</xdr:rowOff>
    </xdr:from>
    <xdr:to>
      <xdr:col>15</xdr:col>
      <xdr:colOff>161922</xdr:colOff>
      <xdr:row>31</xdr:row>
      <xdr:rowOff>117488</xdr:rowOff>
    </xdr:to>
    <xdr:cxnSp macro="">
      <xdr:nvCxnSpPr>
        <xdr:cNvPr id="15" name="Straight Connector 14">
          <a:extLst>
            <a:ext uri="{FF2B5EF4-FFF2-40B4-BE49-F238E27FC236}">
              <a16:creationId xmlns:a16="http://schemas.microsoft.com/office/drawing/2014/main" id="{00000000-0008-0000-0000-00000F000000}"/>
            </a:ext>
          </a:extLst>
        </xdr:cNvPr>
        <xdr:cNvCxnSpPr>
          <a:cxnSpLocks/>
        </xdr:cNvCxnSpPr>
      </xdr:nvCxnSpPr>
      <xdr:spPr>
        <a:xfrm>
          <a:off x="10242093" y="5357031"/>
          <a:ext cx="0" cy="682286"/>
        </a:xfrm>
        <a:prstGeom prst="line">
          <a:avLst/>
        </a:prstGeom>
        <a:ln>
          <a:solidFill>
            <a:schemeClr val="bg1"/>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8</xdr:col>
      <xdr:colOff>487027</xdr:colOff>
      <xdr:row>28</xdr:row>
      <xdr:rowOff>145957</xdr:rowOff>
    </xdr:from>
    <xdr:to>
      <xdr:col>8</xdr:col>
      <xdr:colOff>487027</xdr:colOff>
      <xdr:row>31</xdr:row>
      <xdr:rowOff>90314</xdr:rowOff>
    </xdr:to>
    <xdr:cxnSp macro="">
      <xdr:nvCxnSpPr>
        <xdr:cNvPr id="16" name="Straight Connector 15">
          <a:extLst>
            <a:ext uri="{FF2B5EF4-FFF2-40B4-BE49-F238E27FC236}">
              <a16:creationId xmlns:a16="http://schemas.microsoft.com/office/drawing/2014/main" id="{00000000-0008-0000-0000-000010000000}"/>
            </a:ext>
          </a:extLst>
        </xdr:cNvPr>
        <xdr:cNvCxnSpPr>
          <a:cxnSpLocks/>
        </xdr:cNvCxnSpPr>
      </xdr:nvCxnSpPr>
      <xdr:spPr>
        <a:xfrm>
          <a:off x="5379358" y="5310084"/>
          <a:ext cx="0" cy="686943"/>
        </a:xfrm>
        <a:prstGeom prst="line">
          <a:avLst/>
        </a:prstGeom>
        <a:ln>
          <a:solidFill>
            <a:schemeClr val="bg1"/>
          </a:solidFill>
        </a:ln>
      </xdr:spPr>
      <xdr:style>
        <a:lnRef idx="3">
          <a:schemeClr val="dk1"/>
        </a:lnRef>
        <a:fillRef idx="0">
          <a:schemeClr val="dk1"/>
        </a:fillRef>
        <a:effectRef idx="2">
          <a:schemeClr val="dk1"/>
        </a:effectRef>
        <a:fontRef idx="minor">
          <a:schemeClr val="tx1"/>
        </a:fontRef>
      </xdr:style>
    </xdr:cxnSp>
    <xdr:clientData/>
  </xdr:twoCellAnchor>
  <xdr:twoCellAnchor editAs="oneCell">
    <xdr:from>
      <xdr:col>0</xdr:col>
      <xdr:colOff>0</xdr:colOff>
      <xdr:row>0</xdr:row>
      <xdr:rowOff>0</xdr:rowOff>
    </xdr:from>
    <xdr:to>
      <xdr:col>33</xdr:col>
      <xdr:colOff>348284</xdr:colOff>
      <xdr:row>28</xdr:row>
      <xdr:rowOff>170448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0"/>
          <a:ext cx="20508627" cy="5190683"/>
        </a:xfrm>
        <a:prstGeom prst="rect">
          <a:avLst/>
        </a:prstGeom>
      </xdr:spPr>
    </xdr:pic>
    <xdr:clientData/>
  </xdr:twoCellAnchor>
  <xdr:twoCellAnchor>
    <xdr:from>
      <xdr:col>8</xdr:col>
      <xdr:colOff>493423</xdr:colOff>
      <xdr:row>28</xdr:row>
      <xdr:rowOff>169215</xdr:rowOff>
    </xdr:from>
    <xdr:to>
      <xdr:col>8</xdr:col>
      <xdr:colOff>493423</xdr:colOff>
      <xdr:row>31</xdr:row>
      <xdr:rowOff>116495</xdr:rowOff>
    </xdr:to>
    <xdr:cxnSp macro="">
      <xdr:nvCxnSpPr>
        <xdr:cNvPr id="17" name="Straight Connector 16">
          <a:extLst>
            <a:ext uri="{FF2B5EF4-FFF2-40B4-BE49-F238E27FC236}">
              <a16:creationId xmlns:a16="http://schemas.microsoft.com/office/drawing/2014/main" id="{00000000-0008-0000-0000-000011000000}"/>
            </a:ext>
          </a:extLst>
        </xdr:cNvPr>
        <xdr:cNvCxnSpPr>
          <a:cxnSpLocks/>
        </xdr:cNvCxnSpPr>
      </xdr:nvCxnSpPr>
      <xdr:spPr>
        <a:xfrm>
          <a:off x="5370223" y="5236515"/>
          <a:ext cx="0" cy="690230"/>
        </a:xfrm>
        <a:prstGeom prst="line">
          <a:avLst/>
        </a:prstGeom>
        <a:ln>
          <a:solidFill>
            <a:schemeClr val="bg1"/>
          </a:solidFill>
        </a:ln>
      </xdr:spPr>
      <xdr:style>
        <a:lnRef idx="3">
          <a:schemeClr val="dk1"/>
        </a:lnRef>
        <a:fillRef idx="0">
          <a:schemeClr val="dk1"/>
        </a:fillRef>
        <a:effectRef idx="2">
          <a:schemeClr val="dk1"/>
        </a:effectRef>
        <a:fontRef idx="minor">
          <a:schemeClr val="tx1"/>
        </a:fontRef>
      </xdr:style>
    </xdr:cxnSp>
    <xdr:clientData/>
  </xdr:twoCellAnchor>
  <xdr:twoCellAnchor editAs="oneCell">
    <xdr:from>
      <xdr:col>0</xdr:col>
      <xdr:colOff>0</xdr:colOff>
      <xdr:row>31</xdr:row>
      <xdr:rowOff>87086</xdr:rowOff>
    </xdr:from>
    <xdr:to>
      <xdr:col>33</xdr:col>
      <xdr:colOff>545764</xdr:colOff>
      <xdr:row>60</xdr:row>
      <xdr:rowOff>32658</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0" y="6008915"/>
          <a:ext cx="20706107" cy="5323114"/>
        </a:xfrm>
        <a:prstGeom prst="rect">
          <a:avLst/>
        </a:prstGeom>
      </xdr:spPr>
    </xdr:pic>
    <xdr:clientData/>
  </xdr:twoCellAnchor>
  <xdr:twoCellAnchor editAs="oneCell">
    <xdr:from>
      <xdr:col>0</xdr:col>
      <xdr:colOff>1</xdr:colOff>
      <xdr:row>57</xdr:row>
      <xdr:rowOff>136071</xdr:rowOff>
    </xdr:from>
    <xdr:to>
      <xdr:col>33</xdr:col>
      <xdr:colOff>606698</xdr:colOff>
      <xdr:row>87</xdr:row>
      <xdr:rowOff>87735</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1" y="10763431"/>
          <a:ext cx="20767040" cy="54380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9524</xdr:colOff>
      <xdr:row>1</xdr:row>
      <xdr:rowOff>187233</xdr:rowOff>
    </xdr:from>
    <xdr:to>
      <xdr:col>10</xdr:col>
      <xdr:colOff>0</xdr:colOff>
      <xdr:row>5</xdr:row>
      <xdr:rowOff>174171</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1454764" y="987333"/>
          <a:ext cx="8364856" cy="748938"/>
        </a:xfrm>
        <a:prstGeom prst="rect">
          <a:avLst/>
        </a:prstGeom>
        <a:solidFill>
          <a:schemeClr val="accent5">
            <a:lumMod val="20000"/>
            <a:lumOff val="80000"/>
          </a:schemeClr>
        </a:solidFill>
        <a:ln w="28575"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ysClr val="windowText" lastClr="000000"/>
              </a:solidFill>
            </a:rPr>
            <a:t>This is the user</a:t>
          </a:r>
          <a:r>
            <a:rPr lang="en-US" sz="2000" b="1" baseline="0">
              <a:solidFill>
                <a:sysClr val="windowText" lastClr="000000"/>
              </a:solidFill>
            </a:rPr>
            <a:t> guide,</a:t>
          </a:r>
          <a:r>
            <a:rPr lang="en-US" sz="2000" b="1">
              <a:solidFill>
                <a:sysClr val="windowText" lastClr="000000"/>
              </a:solidFill>
            </a:rPr>
            <a:t> showing</a:t>
          </a:r>
          <a:r>
            <a:rPr lang="en-US" sz="2000" b="1" baseline="0">
              <a:solidFill>
                <a:sysClr val="windowText" lastClr="000000"/>
              </a:solidFill>
            </a:rPr>
            <a:t> you different types of transactions.</a:t>
          </a:r>
        </a:p>
        <a:p>
          <a:pPr algn="ctr"/>
          <a:r>
            <a:rPr lang="en-US" sz="1800" b="1" baseline="0">
              <a:solidFill>
                <a:sysClr val="windowText" lastClr="000000"/>
              </a:solidFill>
            </a:rPr>
            <a:t>A) DEPOSITS AND WITHDRAWALS</a:t>
          </a:r>
          <a:endParaRPr lang="sk-SK" sz="1800" b="1">
            <a:solidFill>
              <a:sysClr val="windowText" lastClr="000000"/>
            </a:solidFill>
          </a:endParaRPr>
        </a:p>
      </xdr:txBody>
    </xdr:sp>
    <xdr:clientData/>
  </xdr:twoCellAnchor>
  <xdr:twoCellAnchor>
    <xdr:from>
      <xdr:col>1</xdr:col>
      <xdr:colOff>8708</xdr:colOff>
      <xdr:row>25</xdr:row>
      <xdr:rowOff>174171</xdr:rowOff>
    </xdr:from>
    <xdr:to>
      <xdr:col>10</xdr:col>
      <xdr:colOff>7619</xdr:colOff>
      <xdr:row>29</xdr:row>
      <xdr:rowOff>171993</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453948" y="5622471"/>
          <a:ext cx="8373291" cy="759822"/>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a:t>1.)F</a:t>
          </a:r>
          <a:r>
            <a:rPr lang="en-US" sz="1100" baseline="0"/>
            <a:t>ill in the </a:t>
          </a:r>
          <a:r>
            <a:rPr lang="en-US" sz="1100" b="1" baseline="0"/>
            <a:t>[Date]</a:t>
          </a:r>
          <a:r>
            <a:rPr lang="en-US" sz="1100" baseline="0"/>
            <a:t>. Its better if you fill in the </a:t>
          </a:r>
          <a:r>
            <a:rPr lang="en-US" sz="1100" b="1" baseline="0"/>
            <a:t>time too</a:t>
          </a:r>
          <a:r>
            <a:rPr lang="en-US" sz="1100" baseline="0"/>
            <a:t>. The more specific date, the better. Also it is better if </a:t>
          </a:r>
          <a:r>
            <a:rPr lang="en-US" sz="1100" b="1" baseline="0"/>
            <a:t>every row has a different time</a:t>
          </a:r>
          <a:r>
            <a:rPr lang="en-US" sz="1100" baseline="0"/>
            <a:t>. Means every row should be at least a minute apart.</a:t>
          </a:r>
        </a:p>
        <a:p>
          <a:pPr algn="l"/>
          <a:r>
            <a:rPr lang="en-US" sz="1100" b="1" u="sng" baseline="0"/>
            <a:t>EXAMPLE:</a:t>
          </a:r>
          <a:endParaRPr lang="sk-SK" sz="1100" b="1" u="sng"/>
        </a:p>
      </xdr:txBody>
    </xdr:sp>
    <xdr:clientData/>
  </xdr:twoCellAnchor>
  <xdr:twoCellAnchor>
    <xdr:from>
      <xdr:col>1</xdr:col>
      <xdr:colOff>1</xdr:colOff>
      <xdr:row>34</xdr:row>
      <xdr:rowOff>20411</xdr:rowOff>
    </xdr:from>
    <xdr:to>
      <xdr:col>10</xdr:col>
      <xdr:colOff>1</xdr:colOff>
      <xdr:row>37</xdr:row>
      <xdr:rowOff>178526</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1445241" y="7183211"/>
          <a:ext cx="8374380" cy="729615"/>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a:t>This is wrong because</a:t>
          </a:r>
          <a:r>
            <a:rPr lang="en-US" sz="1100" baseline="0"/>
            <a:t> the date and the time is the same. This usually happens in </a:t>
          </a:r>
          <a:r>
            <a:rPr lang="en-US" sz="1100" b="1" baseline="0"/>
            <a:t>trades</a:t>
          </a:r>
          <a:r>
            <a:rPr lang="en-US" sz="1100" baseline="0"/>
            <a:t> not </a:t>
          </a:r>
          <a:r>
            <a:rPr lang="en-US" sz="1100" b="1" baseline="0"/>
            <a:t>deposits</a:t>
          </a:r>
          <a:r>
            <a:rPr lang="en-US" sz="1100" baseline="0"/>
            <a:t>, but try to make it different here as well. Sometimes when it seems that the time is the same...</a:t>
          </a:r>
          <a:r>
            <a:rPr lang="en-US" sz="1100" b="1" baseline="0"/>
            <a:t>click</a:t>
          </a:r>
          <a:r>
            <a:rPr lang="en-US" sz="1100" baseline="0"/>
            <a:t> on the </a:t>
          </a:r>
          <a:r>
            <a:rPr lang="en-US" sz="1100" b="1" baseline="0"/>
            <a:t>cell</a:t>
          </a:r>
          <a:r>
            <a:rPr lang="en-US" sz="1100" baseline="0"/>
            <a:t> and you can see the difference in minutes or seconds. </a:t>
          </a:r>
          <a:r>
            <a:rPr lang="en-US" sz="1100" b="1" u="sng" baseline="0"/>
            <a:t>CORRECT WAY: </a:t>
          </a:r>
          <a:r>
            <a:rPr lang="en-US" sz="1100" b="0" u="none" baseline="0"/>
            <a:t>We changed the time in the second row from </a:t>
          </a:r>
          <a:r>
            <a:rPr lang="en-US" sz="1100" b="1" u="none" baseline="0"/>
            <a:t>13:36:13 </a:t>
          </a:r>
          <a:r>
            <a:rPr lang="en-US" sz="1100" b="0" u="none" baseline="0"/>
            <a:t>to</a:t>
          </a:r>
          <a:r>
            <a:rPr lang="en-US" sz="1100" b="1" u="none" baseline="0"/>
            <a:t> 13:37:13</a:t>
          </a:r>
          <a:r>
            <a:rPr lang="en-US" sz="1100" b="0" u="none" baseline="0"/>
            <a:t>. Click on the dates below and see the difference.</a:t>
          </a:r>
          <a:endParaRPr lang="sk-SK" sz="1100" b="1" u="none"/>
        </a:p>
      </xdr:txBody>
    </xdr:sp>
    <xdr:clientData/>
  </xdr:twoCellAnchor>
  <xdr:twoCellAnchor>
    <xdr:from>
      <xdr:col>1</xdr:col>
      <xdr:colOff>0</xdr:colOff>
      <xdr:row>54</xdr:row>
      <xdr:rowOff>17688</xdr:rowOff>
    </xdr:from>
    <xdr:to>
      <xdr:col>10</xdr:col>
      <xdr:colOff>0</xdr:colOff>
      <xdr:row>56</xdr:row>
      <xdr:rowOff>180975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11445240" y="10990488"/>
          <a:ext cx="8374380" cy="544287"/>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4.) </a:t>
          </a:r>
          <a:r>
            <a:rPr lang="en-US" sz="1100" b="0" u="none" baseline="0"/>
            <a:t>Fill in</a:t>
          </a:r>
          <a:r>
            <a:rPr lang="en-US" sz="1100" b="0" u="none"/>
            <a:t> the [</a:t>
          </a:r>
          <a:r>
            <a:rPr lang="en-US" sz="1100" b="1" u="none"/>
            <a:t>Value</a:t>
          </a:r>
          <a:r>
            <a:rPr lang="en-US" sz="1100" b="0" u="none"/>
            <a:t>] in </a:t>
          </a:r>
          <a:r>
            <a:rPr lang="en-US" sz="1100" b="1" u="none"/>
            <a:t>eur</a:t>
          </a:r>
          <a:r>
            <a:rPr lang="en-US" sz="1100" b="0" u="none"/>
            <a:t> of your "deposit" or "withdrawal"</a:t>
          </a:r>
          <a:r>
            <a:rPr lang="en-US" sz="1100" b="0" u="none" baseline="0"/>
            <a:t> without the fee.</a:t>
          </a:r>
          <a:r>
            <a:rPr lang="en-US" sz="1100" b="0" u="none"/>
            <a:t>  </a:t>
          </a:r>
          <a:r>
            <a:rPr lang="en-US" sz="1100" b="1" u="none"/>
            <a:t>IN WITHDRAWAL THE VALUE IS NEGATIVE!</a:t>
          </a:r>
          <a:r>
            <a:rPr lang="en-US" sz="1100" b="1" u="none" baseline="0"/>
            <a:t> </a:t>
          </a:r>
          <a:r>
            <a:rPr lang="en-US" sz="1100" b="0" u="none"/>
            <a:t>(If</a:t>
          </a:r>
          <a:r>
            <a:rPr lang="en-US" sz="1100" b="0" u="none" baseline="0"/>
            <a:t> the value is negative the cell will become red.</a:t>
          </a:r>
          <a:r>
            <a:rPr lang="en-US" sz="1100" b="0" u="none"/>
            <a:t>) </a:t>
          </a:r>
        </a:p>
      </xdr:txBody>
    </xdr:sp>
    <xdr:clientData/>
  </xdr:twoCellAnchor>
  <xdr:twoCellAnchor>
    <xdr:from>
      <xdr:col>1</xdr:col>
      <xdr:colOff>0</xdr:colOff>
      <xdr:row>47</xdr:row>
      <xdr:rowOff>13334</xdr:rowOff>
    </xdr:from>
    <xdr:to>
      <xdr:col>10</xdr:col>
      <xdr:colOff>0</xdr:colOff>
      <xdr:row>50</xdr:row>
      <xdr:rowOff>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445240" y="9652634"/>
          <a:ext cx="8374380" cy="55816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3.) Fill</a:t>
          </a:r>
          <a:r>
            <a:rPr lang="en-US" sz="1100" b="0" baseline="0">
              <a:solidFill>
                <a:schemeClr val="dk1"/>
              </a:solidFill>
              <a:effectLst/>
              <a:latin typeface="+mn-lt"/>
              <a:ea typeface="+mn-ea"/>
              <a:cs typeface="+mn-cs"/>
            </a:rPr>
            <a:t> in the</a:t>
          </a:r>
          <a:r>
            <a:rPr lang="en-US" sz="1100" b="0">
              <a:solidFill>
                <a:schemeClr val="dk1"/>
              </a:solidFill>
              <a:effectLst/>
              <a:latin typeface="+mn-lt"/>
              <a:ea typeface="+mn-ea"/>
              <a:cs typeface="+mn-cs"/>
            </a:rPr>
            <a:t> [</a:t>
          </a:r>
          <a:r>
            <a:rPr lang="en-US" sz="1100" b="1">
              <a:solidFill>
                <a:schemeClr val="dk1"/>
              </a:solidFill>
              <a:effectLst/>
              <a:latin typeface="+mn-lt"/>
              <a:ea typeface="+mn-ea"/>
              <a:cs typeface="+mn-cs"/>
            </a:rPr>
            <a:t>Asset</a:t>
          </a:r>
          <a:r>
            <a:rPr lang="en-US" sz="1100" b="0">
              <a:solidFill>
                <a:schemeClr val="dk1"/>
              </a:solidFill>
              <a:effectLst/>
              <a:latin typeface="+mn-lt"/>
              <a:ea typeface="+mn-ea"/>
              <a:cs typeface="+mn-cs"/>
            </a:rPr>
            <a:t>]. Select "</a:t>
          </a:r>
          <a:r>
            <a:rPr lang="en-US" sz="1100" b="1">
              <a:solidFill>
                <a:schemeClr val="dk1"/>
              </a:solidFill>
              <a:effectLst/>
              <a:latin typeface="+mn-lt"/>
              <a:ea typeface="+mn-ea"/>
              <a:cs typeface="+mn-cs"/>
            </a:rPr>
            <a:t>eur" </a:t>
          </a:r>
          <a:r>
            <a:rPr lang="en-US" sz="1100" b="0">
              <a:solidFill>
                <a:schemeClr val="dk1"/>
              </a:solidFill>
              <a:effectLst/>
              <a:latin typeface="+mn-lt"/>
              <a:ea typeface="+mn-ea"/>
              <a:cs typeface="+mn-cs"/>
            </a:rPr>
            <a:t>or</a:t>
          </a:r>
          <a:r>
            <a:rPr lang="en-US" sz="1100" b="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crypto</a:t>
          </a:r>
          <a:r>
            <a:rPr lang="en-US" sz="1100" b="0" baseline="0">
              <a:solidFill>
                <a:schemeClr val="dk1"/>
              </a:solidFill>
              <a:effectLst/>
              <a:latin typeface="+mn-lt"/>
              <a:ea typeface="+mn-ea"/>
              <a:cs typeface="+mn-cs"/>
            </a:rPr>
            <a:t> ("btc", "eth", "xrp"...). Be aware that you can select just the </a:t>
          </a:r>
          <a:r>
            <a:rPr lang="en-US" sz="1100" b="1" baseline="0">
              <a:solidFill>
                <a:schemeClr val="dk1"/>
              </a:solidFill>
              <a:effectLst/>
              <a:latin typeface="+mn-lt"/>
              <a:ea typeface="+mn-ea"/>
              <a:cs typeface="+mn-cs"/>
            </a:rPr>
            <a:t>top 200 coins</a:t>
          </a:r>
          <a:r>
            <a:rPr lang="en-US" sz="1100" b="0" baseline="0">
              <a:solidFill>
                <a:schemeClr val="dk1"/>
              </a:solidFill>
              <a:effectLst/>
              <a:latin typeface="+mn-lt"/>
              <a:ea typeface="+mn-ea"/>
              <a:cs typeface="+mn-cs"/>
            </a:rPr>
            <a:t>. If you type the </a:t>
          </a:r>
          <a:r>
            <a:rPr lang="en-US" sz="1100" b="1" baseline="0">
              <a:solidFill>
                <a:schemeClr val="dk1"/>
              </a:solidFill>
              <a:effectLst/>
              <a:latin typeface="+mn-lt"/>
              <a:ea typeface="+mn-ea"/>
              <a:cs typeface="+mn-cs"/>
            </a:rPr>
            <a:t>wrong</a:t>
          </a:r>
          <a:r>
            <a:rPr lang="en-US" sz="1100" b="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asset</a:t>
          </a:r>
          <a:r>
            <a:rPr lang="en-US" sz="1100" b="0" baseline="0">
              <a:solidFill>
                <a:schemeClr val="dk1"/>
              </a:solidFill>
              <a:effectLst/>
              <a:latin typeface="+mn-lt"/>
              <a:ea typeface="+mn-ea"/>
              <a:cs typeface="+mn-cs"/>
            </a:rPr>
            <a:t> symbol then it will show you an </a:t>
          </a:r>
          <a:r>
            <a:rPr lang="en-US" sz="1100" b="1" baseline="0">
              <a:solidFill>
                <a:schemeClr val="dk1"/>
              </a:solidFill>
              <a:effectLst/>
              <a:latin typeface="+mn-lt"/>
              <a:ea typeface="+mn-ea"/>
              <a:cs typeface="+mn-cs"/>
            </a:rPr>
            <a:t>error</a:t>
          </a:r>
          <a:r>
            <a:rPr lang="en-US" sz="1100" b="0" baseline="0">
              <a:solidFill>
                <a:schemeClr val="dk1"/>
              </a:solidFill>
              <a:effectLst/>
              <a:latin typeface="+mn-lt"/>
              <a:ea typeface="+mn-ea"/>
              <a:cs typeface="+mn-cs"/>
            </a:rPr>
            <a:t> and you need to try again. </a:t>
          </a:r>
          <a:endParaRPr lang="sk-SK">
            <a:effectLst/>
          </a:endParaRPr>
        </a:p>
        <a:p>
          <a:pPr algn="l"/>
          <a:endParaRPr lang="sk-SK" sz="1100" b="0" u="none"/>
        </a:p>
      </xdr:txBody>
    </xdr:sp>
    <xdr:clientData/>
  </xdr:twoCellAnchor>
  <xdr:twoCellAnchor>
    <xdr:from>
      <xdr:col>1</xdr:col>
      <xdr:colOff>5170</xdr:colOff>
      <xdr:row>86</xdr:row>
      <xdr:rowOff>178526</xdr:rowOff>
    </xdr:from>
    <xdr:to>
      <xdr:col>10</xdr:col>
      <xdr:colOff>0</xdr:colOff>
      <xdr:row>89</xdr:row>
      <xdr:rowOff>171450</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11450410" y="17247326"/>
          <a:ext cx="8369210" cy="56442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9.) </a:t>
          </a:r>
          <a:r>
            <a:rPr lang="en-US" sz="1100" b="0" baseline="0">
              <a:solidFill>
                <a:schemeClr val="dk1"/>
              </a:solidFill>
              <a:effectLst/>
              <a:latin typeface="+mn-lt"/>
              <a:ea typeface="+mn-ea"/>
              <a:cs typeface="+mn-cs"/>
            </a:rPr>
            <a:t>The </a:t>
          </a:r>
          <a:r>
            <a:rPr lang="en-US" sz="1100" b="1" baseline="0">
              <a:solidFill>
                <a:schemeClr val="dk1"/>
              </a:solidFill>
              <a:effectLst/>
              <a:latin typeface="+mn-lt"/>
              <a:ea typeface="+mn-ea"/>
              <a:cs typeface="+mn-cs"/>
            </a:rPr>
            <a:t>[% Change</a:t>
          </a:r>
          <a:r>
            <a:rPr lang="en-US" sz="1100" b="0" baseline="0">
              <a:solidFill>
                <a:schemeClr val="dk1"/>
              </a:solidFill>
              <a:effectLst/>
              <a:latin typeface="+mn-lt"/>
              <a:ea typeface="+mn-ea"/>
              <a:cs typeface="+mn-cs"/>
            </a:rPr>
            <a:t>] is </a:t>
          </a:r>
          <a:r>
            <a:rPr lang="en-US" sz="1100" b="1" baseline="0">
              <a:solidFill>
                <a:schemeClr val="dk1"/>
              </a:solidFill>
              <a:effectLst/>
              <a:latin typeface="+mn-lt"/>
              <a:ea typeface="+mn-ea"/>
              <a:cs typeface="+mn-cs"/>
            </a:rPr>
            <a:t>AUTOFILLED </a:t>
          </a:r>
          <a:r>
            <a:rPr lang="en-US" sz="1100" b="0" baseline="0">
              <a:solidFill>
                <a:schemeClr val="dk1"/>
              </a:solidFill>
              <a:effectLst/>
              <a:latin typeface="+mn-lt"/>
              <a:ea typeface="+mn-ea"/>
              <a:cs typeface="+mn-cs"/>
            </a:rPr>
            <a:t>and it is showing you the </a:t>
          </a:r>
          <a:r>
            <a:rPr lang="en-US" sz="1100" b="1" baseline="0">
              <a:solidFill>
                <a:schemeClr val="dk1"/>
              </a:solidFill>
              <a:effectLst/>
              <a:latin typeface="+mn-lt"/>
              <a:ea typeface="+mn-ea"/>
              <a:cs typeface="+mn-cs"/>
            </a:rPr>
            <a:t>percentual difference of the coin price </a:t>
          </a:r>
          <a:r>
            <a:rPr lang="en-US" sz="1100" b="0" baseline="0">
              <a:solidFill>
                <a:schemeClr val="dk1"/>
              </a:solidFill>
              <a:effectLst/>
              <a:latin typeface="+mn-lt"/>
              <a:ea typeface="+mn-ea"/>
              <a:cs typeface="+mn-cs"/>
            </a:rPr>
            <a:t>between the time of purchase and today. </a:t>
          </a:r>
          <a:endParaRPr lang="sk-SK">
            <a:effectLst/>
          </a:endParaRPr>
        </a:p>
        <a:p>
          <a:pPr algn="l"/>
          <a:r>
            <a:rPr lang="en-US" sz="1100" b="0" u="none" baseline="0"/>
            <a:t>You </a:t>
          </a:r>
          <a:r>
            <a:rPr lang="en-US" sz="1100" b="1" u="none" baseline="0"/>
            <a:t>can not</a:t>
          </a:r>
          <a:r>
            <a:rPr lang="en-US" sz="1100" b="0" u="none" baseline="0"/>
            <a:t> see it in </a:t>
          </a:r>
          <a:r>
            <a:rPr lang="en-US" sz="1100" b="1" u="none" baseline="0"/>
            <a:t>deposits</a:t>
          </a:r>
          <a:r>
            <a:rPr lang="en-US" sz="1100" b="0" u="none" baseline="0"/>
            <a:t> or </a:t>
          </a:r>
          <a:r>
            <a:rPr lang="en-US" sz="1100" b="1" u="none" baseline="0"/>
            <a:t>withdrawals</a:t>
          </a:r>
          <a:r>
            <a:rPr lang="en-US" sz="1100" b="0" u="none" baseline="0"/>
            <a:t>. You can see it in the next tutorial, in step 9.</a:t>
          </a:r>
          <a:endParaRPr lang="sk-SK" sz="1100" b="1" u="none"/>
        </a:p>
      </xdr:txBody>
    </xdr:sp>
    <xdr:clientData/>
  </xdr:twoCellAnchor>
  <xdr:twoCellAnchor>
    <xdr:from>
      <xdr:col>13</xdr:col>
      <xdr:colOff>10885</xdr:colOff>
      <xdr:row>2</xdr:row>
      <xdr:rowOff>0</xdr:rowOff>
    </xdr:from>
    <xdr:to>
      <xdr:col>21</xdr:col>
      <xdr:colOff>952500</xdr:colOff>
      <xdr:row>6</xdr:row>
      <xdr:rowOff>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22665145" y="990600"/>
          <a:ext cx="8493035" cy="762000"/>
        </a:xfrm>
        <a:prstGeom prst="rect">
          <a:avLst/>
        </a:prstGeom>
        <a:solidFill>
          <a:schemeClr val="accent5">
            <a:lumMod val="20000"/>
            <a:lumOff val="80000"/>
          </a:schemeClr>
        </a:solidFill>
        <a:ln w="28575"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ysClr val="windowText" lastClr="000000"/>
              </a:solidFill>
            </a:rPr>
            <a:t>This is the user</a:t>
          </a:r>
          <a:r>
            <a:rPr lang="en-US" sz="2000" b="1" baseline="0">
              <a:solidFill>
                <a:sysClr val="windowText" lastClr="000000"/>
              </a:solidFill>
            </a:rPr>
            <a:t> guide</a:t>
          </a:r>
          <a:r>
            <a:rPr lang="en-US" sz="2000" b="1">
              <a:solidFill>
                <a:sysClr val="windowText" lastClr="000000"/>
              </a:solidFill>
            </a:rPr>
            <a:t> showing</a:t>
          </a:r>
          <a:r>
            <a:rPr lang="en-US" sz="2000" b="1" baseline="0">
              <a:solidFill>
                <a:sysClr val="windowText" lastClr="000000"/>
              </a:solidFill>
            </a:rPr>
            <a:t> you different types of transactions.</a:t>
          </a:r>
        </a:p>
        <a:p>
          <a:pPr algn="ctr"/>
          <a:r>
            <a:rPr lang="en-US" sz="1800" b="1" baseline="0">
              <a:solidFill>
                <a:sysClr val="windowText" lastClr="000000"/>
              </a:solidFill>
            </a:rPr>
            <a:t>B) SPEND AND RECIEVE</a:t>
          </a:r>
        </a:p>
        <a:p>
          <a:pPr algn="ctr"/>
          <a:endParaRPr lang="sk-SK" sz="1800" b="1">
            <a:solidFill>
              <a:sysClr val="windowText" lastClr="000000"/>
            </a:solidFill>
          </a:endParaRPr>
        </a:p>
      </xdr:txBody>
    </xdr:sp>
    <xdr:clientData/>
  </xdr:twoCellAnchor>
  <xdr:twoCellAnchor>
    <xdr:from>
      <xdr:col>13</xdr:col>
      <xdr:colOff>8710</xdr:colOff>
      <xdr:row>16</xdr:row>
      <xdr:rowOff>163286</xdr:rowOff>
    </xdr:from>
    <xdr:to>
      <xdr:col>21</xdr:col>
      <xdr:colOff>1001487</xdr:colOff>
      <xdr:row>17</xdr:row>
      <xdr:rowOff>174171</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3311053" y="3156857"/>
          <a:ext cx="9178834" cy="195943"/>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aseline="0">
              <a:solidFill>
                <a:schemeClr val="dk1"/>
              </a:solidFill>
              <a:effectLst/>
              <a:latin typeface="+mn-lt"/>
              <a:ea typeface="+mn-ea"/>
              <a:cs typeface="+mn-cs"/>
            </a:rPr>
            <a:t>a) You </a:t>
          </a:r>
          <a:r>
            <a:rPr lang="en-US" sz="1100" b="1" baseline="0">
              <a:solidFill>
                <a:schemeClr val="dk1"/>
              </a:solidFill>
              <a:effectLst/>
              <a:latin typeface="+mn-lt"/>
              <a:ea typeface="+mn-ea"/>
              <a:cs typeface="+mn-cs"/>
            </a:rPr>
            <a:t>spend</a:t>
          </a: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cash</a:t>
          </a:r>
          <a:r>
            <a:rPr lang="en-US" sz="1100" baseline="0">
              <a:solidFill>
                <a:schemeClr val="dk1"/>
              </a:solidFill>
              <a:effectLst/>
              <a:latin typeface="+mn-lt"/>
              <a:ea typeface="+mn-ea"/>
              <a:cs typeface="+mn-cs"/>
            </a:rPr>
            <a:t> (which you deposited earlier) and you </a:t>
          </a:r>
          <a:r>
            <a:rPr lang="en-US" sz="1100" b="1" baseline="0">
              <a:solidFill>
                <a:schemeClr val="dk1"/>
              </a:solidFill>
              <a:effectLst/>
              <a:latin typeface="+mn-lt"/>
              <a:ea typeface="+mn-ea"/>
              <a:cs typeface="+mn-cs"/>
            </a:rPr>
            <a:t>recieve</a:t>
          </a: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crypto</a:t>
          </a:r>
          <a:r>
            <a:rPr lang="en-US" sz="1100" baseline="0">
              <a:solidFill>
                <a:schemeClr val="dk1"/>
              </a:solidFill>
              <a:effectLst/>
              <a:latin typeface="+mn-lt"/>
              <a:ea typeface="+mn-ea"/>
              <a:cs typeface="+mn-cs"/>
            </a:rPr>
            <a:t>. &lt;-- Trading(</a:t>
          </a:r>
          <a:r>
            <a:rPr lang="en-US" sz="1100" b="1" baseline="0">
              <a:solidFill>
                <a:schemeClr val="dk1"/>
              </a:solidFill>
              <a:effectLst/>
              <a:latin typeface="+mn-lt"/>
              <a:ea typeface="+mn-ea"/>
              <a:cs typeface="+mn-cs"/>
            </a:rPr>
            <a:t>buying</a:t>
          </a: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cash</a:t>
          </a:r>
          <a:r>
            <a:rPr lang="en-US" sz="1100" baseline="0">
              <a:solidFill>
                <a:schemeClr val="dk1"/>
              </a:solidFill>
              <a:effectLst/>
              <a:latin typeface="+mn-lt"/>
              <a:ea typeface="+mn-ea"/>
              <a:cs typeface="+mn-cs"/>
            </a:rPr>
            <a:t> for </a:t>
          </a:r>
          <a:r>
            <a:rPr lang="en-US" sz="1100" b="1" baseline="0">
              <a:solidFill>
                <a:schemeClr val="dk1"/>
              </a:solidFill>
              <a:effectLst/>
              <a:latin typeface="+mn-lt"/>
              <a:ea typeface="+mn-ea"/>
              <a:cs typeface="+mn-cs"/>
            </a:rPr>
            <a:t>crypto</a:t>
          </a:r>
          <a:endParaRPr lang="sk-SK">
            <a:effectLst/>
          </a:endParaRPr>
        </a:p>
      </xdr:txBody>
    </xdr:sp>
    <xdr:clientData/>
  </xdr:twoCellAnchor>
  <xdr:twoCellAnchor>
    <xdr:from>
      <xdr:col>1</xdr:col>
      <xdr:colOff>8708</xdr:colOff>
      <xdr:row>19</xdr:row>
      <xdr:rowOff>10885</xdr:rowOff>
    </xdr:from>
    <xdr:to>
      <xdr:col>10</xdr:col>
      <xdr:colOff>0</xdr:colOff>
      <xdr:row>23</xdr:row>
      <xdr:rowOff>0</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53948" y="4285705"/>
          <a:ext cx="8365672" cy="766355"/>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t>We</a:t>
          </a:r>
          <a:r>
            <a:rPr lang="en-US" sz="1100" baseline="0"/>
            <a:t> start with the </a:t>
          </a:r>
          <a:r>
            <a:rPr lang="en-US" sz="1100" b="1" baseline="0"/>
            <a:t>deposits</a:t>
          </a:r>
          <a:r>
            <a:rPr lang="en-US" sz="1100" baseline="0"/>
            <a:t> and </a:t>
          </a:r>
          <a:r>
            <a:rPr lang="en-US" sz="1100" b="1" baseline="0"/>
            <a:t>withdrawals</a:t>
          </a:r>
          <a:r>
            <a:rPr lang="en-US" sz="1100" baseline="0"/>
            <a:t>. This is the transaction you make when </a:t>
          </a:r>
          <a:r>
            <a:rPr lang="en-US" sz="1100" b="1" baseline="0"/>
            <a:t>you put in / put out crypto</a:t>
          </a:r>
          <a:r>
            <a:rPr lang="en-US" sz="1100" baseline="0"/>
            <a:t> or </a:t>
          </a:r>
          <a:r>
            <a:rPr lang="en-US" sz="1100" b="1" baseline="0"/>
            <a:t>cash</a:t>
          </a:r>
          <a:r>
            <a:rPr lang="en-US" sz="1100" baseline="0"/>
            <a:t> in the wallet.</a:t>
          </a:r>
          <a:r>
            <a:rPr lang="en-US" sz="1100" baseline="0">
              <a:solidFill>
                <a:schemeClr val="dk1"/>
              </a:solidFill>
              <a:effectLst/>
              <a:latin typeface="+mn-lt"/>
              <a:ea typeface="+mn-ea"/>
              <a:cs typeface="+mn-cs"/>
            </a:rPr>
            <a:t>Be </a:t>
          </a:r>
          <a:r>
            <a:rPr lang="en-US" sz="1100" b="1" baseline="0">
              <a:solidFill>
                <a:schemeClr val="dk1"/>
              </a:solidFill>
              <a:effectLst/>
              <a:latin typeface="+mn-lt"/>
              <a:ea typeface="+mn-ea"/>
              <a:cs typeface="+mn-cs"/>
            </a:rPr>
            <a:t>aware</a:t>
          </a:r>
          <a:r>
            <a:rPr lang="en-US" sz="1100" baseline="0">
              <a:solidFill>
                <a:schemeClr val="dk1"/>
              </a:solidFill>
              <a:effectLst/>
              <a:latin typeface="+mn-lt"/>
              <a:ea typeface="+mn-ea"/>
              <a:cs typeface="+mn-cs"/>
            </a:rPr>
            <a:t> that these are </a:t>
          </a:r>
          <a:r>
            <a:rPr lang="en-US" sz="1100" b="1" baseline="0">
              <a:solidFill>
                <a:schemeClr val="dk1"/>
              </a:solidFill>
              <a:effectLst/>
              <a:latin typeface="+mn-lt"/>
              <a:ea typeface="+mn-ea"/>
              <a:cs typeface="+mn-cs"/>
            </a:rPr>
            <a:t>two different transactions</a:t>
          </a:r>
          <a:r>
            <a:rPr lang="en-US" sz="1100" baseline="0">
              <a:solidFill>
                <a:schemeClr val="dk1"/>
              </a:solidFill>
              <a:effectLst/>
              <a:latin typeface="+mn-lt"/>
              <a:ea typeface="+mn-ea"/>
              <a:cs typeface="+mn-cs"/>
            </a:rPr>
            <a:t>.</a:t>
          </a:r>
          <a:endParaRPr lang="en-US" sz="1100" baseline="0"/>
        </a:p>
        <a:p>
          <a:pPr algn="l"/>
          <a:r>
            <a:rPr lang="en-US" sz="1100" baseline="0"/>
            <a:t>Here are shown the </a:t>
          </a:r>
          <a:r>
            <a:rPr lang="en-US" sz="1100" b="1" baseline="0"/>
            <a:t>columns</a:t>
          </a:r>
          <a:r>
            <a:rPr lang="en-US" sz="1100" b="0" baseline="0"/>
            <a:t> which you will use. </a:t>
          </a:r>
          <a:endParaRPr lang="en-US" sz="1100" b="1" u="sng" baseline="0"/>
        </a:p>
        <a:p>
          <a:pPr algn="l"/>
          <a:endParaRPr lang="sk-SK" sz="1100" b="1" u="sng"/>
        </a:p>
      </xdr:txBody>
    </xdr:sp>
    <xdr:clientData/>
  </xdr:twoCellAnchor>
  <xdr:twoCellAnchor>
    <xdr:from>
      <xdr:col>13</xdr:col>
      <xdr:colOff>0</xdr:colOff>
      <xdr:row>7</xdr:row>
      <xdr:rowOff>10884</xdr:rowOff>
    </xdr:from>
    <xdr:to>
      <xdr:col>22</xdr:col>
      <xdr:colOff>0</xdr:colOff>
      <xdr:row>14</xdr:row>
      <xdr:rowOff>0</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22654260" y="1953984"/>
          <a:ext cx="8503920" cy="133785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t>Spending</a:t>
          </a:r>
          <a:r>
            <a:rPr lang="en-US" sz="1100" b="0"/>
            <a:t> </a:t>
          </a:r>
          <a:r>
            <a:rPr lang="en-US" sz="1100"/>
            <a:t>and </a:t>
          </a:r>
          <a:r>
            <a:rPr lang="en-US" sz="1100" b="1"/>
            <a:t>recieving</a:t>
          </a:r>
          <a:r>
            <a:rPr lang="en-US" sz="1100" baseline="0"/>
            <a:t> are the two fundamental(basic) parts of a transaction in which you </a:t>
          </a:r>
          <a:r>
            <a:rPr lang="en-US" sz="1100" b="1" baseline="0"/>
            <a:t>buy</a:t>
          </a:r>
          <a:r>
            <a:rPr lang="en-US" sz="1100" baseline="0"/>
            <a:t> or </a:t>
          </a:r>
          <a:r>
            <a:rPr lang="en-US" sz="1100" b="1" baseline="0"/>
            <a:t>sell</a:t>
          </a:r>
          <a:r>
            <a:rPr lang="en-US" sz="1100" baseline="0"/>
            <a:t>. You always </a:t>
          </a:r>
          <a:r>
            <a:rPr lang="en-US" sz="1100" b="1" baseline="0"/>
            <a:t>first</a:t>
          </a:r>
          <a:r>
            <a:rPr lang="en-US" sz="1100" baseline="0"/>
            <a:t> </a:t>
          </a:r>
          <a:r>
            <a:rPr lang="en-US" sz="1100" b="1" baseline="0"/>
            <a:t>spend</a:t>
          </a:r>
          <a:r>
            <a:rPr lang="en-US" sz="1100" baseline="0"/>
            <a:t> and just then you can </a:t>
          </a:r>
          <a:r>
            <a:rPr lang="en-US" sz="1100" b="1" baseline="0"/>
            <a:t>recieve</a:t>
          </a:r>
          <a:r>
            <a:rPr lang="en-US" sz="1100" baseline="0"/>
            <a:t>. Means that </a:t>
          </a:r>
          <a:r>
            <a:rPr lang="en-US" sz="1100" b="1" baseline="0"/>
            <a:t>every</a:t>
          </a:r>
          <a:r>
            <a:rPr lang="en-US" sz="1100" baseline="0"/>
            <a:t> </a:t>
          </a:r>
          <a:r>
            <a:rPr lang="en-US" sz="1100" b="1" baseline="0"/>
            <a:t>transaction</a:t>
          </a:r>
          <a:r>
            <a:rPr lang="en-US" sz="1100" baseline="0"/>
            <a:t> is written down in </a:t>
          </a:r>
          <a:r>
            <a:rPr lang="en-US" sz="1100" b="1" baseline="0"/>
            <a:t>two</a:t>
          </a:r>
          <a:r>
            <a:rPr lang="en-US" sz="1100" baseline="0"/>
            <a:t> </a:t>
          </a:r>
          <a:r>
            <a:rPr lang="en-US" sz="1100" b="1" baseline="0"/>
            <a:t>rows</a:t>
          </a:r>
          <a:r>
            <a:rPr lang="en-US" sz="1100" baseline="0"/>
            <a:t>.  </a:t>
          </a:r>
          <a:r>
            <a:rPr lang="en-US" sz="1100" b="1" u="sng" baseline="0">
              <a:solidFill>
                <a:sysClr val="windowText" lastClr="000000"/>
              </a:solidFill>
            </a:rPr>
            <a:t>The VALUES are written always in eur.</a:t>
          </a:r>
        </a:p>
        <a:p>
          <a:pPr lvl="0" algn="l"/>
          <a:r>
            <a:rPr lang="en-US" sz="1100" baseline="0"/>
            <a:t>Here are </a:t>
          </a:r>
          <a:r>
            <a:rPr lang="en-US" sz="1100" u="none" baseline="0"/>
            <a:t>3 posiible  </a:t>
          </a:r>
          <a:r>
            <a:rPr lang="en-US" sz="1100" b="1" u="sng" baseline="0"/>
            <a:t>EXAMPLES</a:t>
          </a:r>
          <a:r>
            <a:rPr lang="en-US" sz="1100" u="none" baseline="0"/>
            <a:t>:</a:t>
          </a:r>
          <a:endParaRPr lang="en-US" sz="1100" baseline="0"/>
        </a:p>
        <a:p>
          <a:pPr algn="l"/>
          <a:r>
            <a:rPr lang="en-US" sz="1100" baseline="0"/>
            <a:t>a) You </a:t>
          </a:r>
          <a:r>
            <a:rPr lang="en-US" sz="1100" b="0" baseline="0"/>
            <a:t>spend</a:t>
          </a:r>
          <a:r>
            <a:rPr lang="en-US" sz="1100" baseline="0"/>
            <a:t> </a:t>
          </a:r>
          <a:r>
            <a:rPr lang="en-US" sz="1100" b="1" baseline="0"/>
            <a:t>cash</a:t>
          </a:r>
          <a:r>
            <a:rPr lang="en-US" sz="1100" baseline="0"/>
            <a:t> (which you deposited earlier) and you </a:t>
          </a:r>
          <a:r>
            <a:rPr lang="en-US" sz="1100" b="1" baseline="0"/>
            <a:t>recieve</a:t>
          </a:r>
          <a:r>
            <a:rPr lang="en-US" sz="1100" baseline="0"/>
            <a:t> </a:t>
          </a:r>
          <a:r>
            <a:rPr lang="en-US" sz="1100" b="1" baseline="0"/>
            <a:t>crypto</a:t>
          </a:r>
          <a:r>
            <a:rPr lang="en-US" sz="1100" baseline="0"/>
            <a:t>. &lt;-- Buying </a:t>
          </a:r>
          <a:r>
            <a:rPr lang="en-US" sz="1100" b="1" baseline="0"/>
            <a:t>crypto</a:t>
          </a:r>
          <a:r>
            <a:rPr lang="en-US" sz="1100" baseline="0"/>
            <a:t> for </a:t>
          </a:r>
          <a:r>
            <a:rPr lang="en-US" sz="1100" b="1" baseline="0"/>
            <a:t>cash</a:t>
          </a:r>
        </a:p>
        <a:p>
          <a:pPr algn="l"/>
          <a:r>
            <a:rPr lang="en-US" sz="1100" baseline="0"/>
            <a:t>b) You spend </a:t>
          </a:r>
          <a:r>
            <a:rPr lang="en-US" sz="1100" b="1" baseline="0"/>
            <a:t>crypto</a:t>
          </a:r>
          <a:r>
            <a:rPr lang="en-US" sz="1100" baseline="0"/>
            <a:t>(which you bought earlier at some point) and you </a:t>
          </a:r>
          <a:r>
            <a:rPr lang="en-US" sz="1100" b="1" baseline="0"/>
            <a:t>recieve</a:t>
          </a:r>
          <a:r>
            <a:rPr lang="en-US" sz="1100" baseline="0"/>
            <a:t> </a:t>
          </a:r>
          <a:r>
            <a:rPr lang="en-US" sz="1100" b="1" baseline="0"/>
            <a:t>cash</a:t>
          </a:r>
          <a:r>
            <a:rPr lang="en-US" sz="1100" baseline="0"/>
            <a:t>. &lt;-- Selling </a:t>
          </a:r>
          <a:r>
            <a:rPr lang="en-US" sz="1100" b="1" baseline="0"/>
            <a:t>crypto</a:t>
          </a:r>
          <a:r>
            <a:rPr lang="en-US" sz="1100" baseline="0"/>
            <a:t> for </a:t>
          </a:r>
          <a:r>
            <a:rPr lang="en-US" sz="1100" b="1" baseline="0"/>
            <a:t>cash</a:t>
          </a:r>
        </a:p>
        <a:p>
          <a:pPr algn="l"/>
          <a:r>
            <a:rPr lang="en-US" sz="1100" baseline="0"/>
            <a:t>c) You spend </a:t>
          </a:r>
          <a:r>
            <a:rPr lang="en-US" sz="1100" b="1" baseline="0"/>
            <a:t>crypto</a:t>
          </a:r>
          <a:r>
            <a:rPr lang="en-US" sz="1100" baseline="0"/>
            <a:t>(which you bought earlier at some point) and you </a:t>
          </a:r>
          <a:r>
            <a:rPr lang="en-US" sz="1100" b="1" baseline="0"/>
            <a:t>recieve</a:t>
          </a:r>
          <a:r>
            <a:rPr lang="en-US" sz="1100" baseline="0"/>
            <a:t> another </a:t>
          </a:r>
          <a:r>
            <a:rPr lang="en-US" sz="1100" b="1" baseline="0"/>
            <a:t>crypto</a:t>
          </a:r>
          <a:r>
            <a:rPr lang="en-US" sz="1100" baseline="0"/>
            <a:t>. &lt;-- </a:t>
          </a:r>
          <a:r>
            <a:rPr lang="en-US" sz="1100" b="1" baseline="0"/>
            <a:t>Trading</a:t>
          </a:r>
          <a:r>
            <a:rPr lang="en-US" sz="1100" baseline="0"/>
            <a:t> </a:t>
          </a:r>
          <a:r>
            <a:rPr lang="en-US" sz="1100" b="1" baseline="0"/>
            <a:t>crypto</a:t>
          </a:r>
          <a:r>
            <a:rPr lang="en-US" sz="1100" baseline="0"/>
            <a:t> for </a:t>
          </a:r>
          <a:r>
            <a:rPr lang="en-US" sz="1100" b="1" baseline="0"/>
            <a:t>crypto</a:t>
          </a:r>
        </a:p>
        <a:p>
          <a:endParaRPr lang="sk-SK" sz="1100" b="1" u="sng"/>
        </a:p>
      </xdr:txBody>
    </xdr:sp>
    <xdr:clientData/>
  </xdr:twoCellAnchor>
  <xdr:twoCellAnchor>
    <xdr:from>
      <xdr:col>13</xdr:col>
      <xdr:colOff>8709</xdr:colOff>
      <xdr:row>22</xdr:row>
      <xdr:rowOff>10885</xdr:rowOff>
    </xdr:from>
    <xdr:to>
      <xdr:col>22</xdr:col>
      <xdr:colOff>9525</xdr:colOff>
      <xdr:row>22</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22662969" y="4857205"/>
          <a:ext cx="8504736" cy="17009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aseline="0">
              <a:solidFill>
                <a:schemeClr val="dk1"/>
              </a:solidFill>
              <a:effectLst/>
              <a:latin typeface="+mn-lt"/>
              <a:ea typeface="+mn-ea"/>
              <a:cs typeface="+mn-cs"/>
            </a:rPr>
            <a:t>b) You spend </a:t>
          </a:r>
          <a:r>
            <a:rPr lang="en-US" sz="1100" b="1" baseline="0">
              <a:solidFill>
                <a:schemeClr val="dk1"/>
              </a:solidFill>
              <a:effectLst/>
              <a:latin typeface="+mn-lt"/>
              <a:ea typeface="+mn-ea"/>
              <a:cs typeface="+mn-cs"/>
            </a:rPr>
            <a:t>crypto</a:t>
          </a:r>
          <a:r>
            <a:rPr lang="en-US" sz="1100" baseline="0">
              <a:solidFill>
                <a:schemeClr val="dk1"/>
              </a:solidFill>
              <a:effectLst/>
              <a:latin typeface="+mn-lt"/>
              <a:ea typeface="+mn-ea"/>
              <a:cs typeface="+mn-cs"/>
            </a:rPr>
            <a:t>(which you bought earlier at some point) and you </a:t>
          </a:r>
          <a:r>
            <a:rPr lang="en-US" sz="1100" b="1" baseline="0">
              <a:solidFill>
                <a:schemeClr val="dk1"/>
              </a:solidFill>
              <a:effectLst/>
              <a:latin typeface="+mn-lt"/>
              <a:ea typeface="+mn-ea"/>
              <a:cs typeface="+mn-cs"/>
            </a:rPr>
            <a:t>recieve</a:t>
          </a: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cash</a:t>
          </a:r>
          <a:r>
            <a:rPr lang="en-US" sz="1100" baseline="0">
              <a:solidFill>
                <a:schemeClr val="dk1"/>
              </a:solidFill>
              <a:effectLst/>
              <a:latin typeface="+mn-lt"/>
              <a:ea typeface="+mn-ea"/>
              <a:cs typeface="+mn-cs"/>
            </a:rPr>
            <a:t>. &lt;-- Trading(</a:t>
          </a:r>
          <a:r>
            <a:rPr lang="en-US" sz="1100" b="1" baseline="0">
              <a:solidFill>
                <a:schemeClr val="dk1"/>
              </a:solidFill>
              <a:effectLst/>
              <a:latin typeface="+mn-lt"/>
              <a:ea typeface="+mn-ea"/>
              <a:cs typeface="+mn-cs"/>
            </a:rPr>
            <a:t>selling</a:t>
          </a: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crypto</a:t>
          </a:r>
          <a:r>
            <a:rPr lang="en-US" sz="1100" baseline="0">
              <a:solidFill>
                <a:schemeClr val="dk1"/>
              </a:solidFill>
              <a:effectLst/>
              <a:latin typeface="+mn-lt"/>
              <a:ea typeface="+mn-ea"/>
              <a:cs typeface="+mn-cs"/>
            </a:rPr>
            <a:t> for </a:t>
          </a:r>
          <a:r>
            <a:rPr lang="en-US" sz="1100" b="1" baseline="0">
              <a:solidFill>
                <a:schemeClr val="dk1"/>
              </a:solidFill>
              <a:effectLst/>
              <a:latin typeface="+mn-lt"/>
              <a:ea typeface="+mn-ea"/>
              <a:cs typeface="+mn-cs"/>
            </a:rPr>
            <a:t>cash</a:t>
          </a:r>
          <a:endParaRPr lang="sk-SK">
            <a:effectLst/>
          </a:endParaRPr>
        </a:p>
      </xdr:txBody>
    </xdr:sp>
    <xdr:clientData/>
  </xdr:twoCellAnchor>
  <xdr:twoCellAnchor>
    <xdr:from>
      <xdr:col>13</xdr:col>
      <xdr:colOff>8710</xdr:colOff>
      <xdr:row>27</xdr:row>
      <xdr:rowOff>3</xdr:rowOff>
    </xdr:from>
    <xdr:to>
      <xdr:col>22</xdr:col>
      <xdr:colOff>0</xdr:colOff>
      <xdr:row>27</xdr:row>
      <xdr:rowOff>171451</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22662970" y="5829303"/>
          <a:ext cx="8495210" cy="171448"/>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aseline="0">
              <a:solidFill>
                <a:schemeClr val="dk1"/>
              </a:solidFill>
              <a:effectLst/>
              <a:latin typeface="+mn-lt"/>
              <a:ea typeface="+mn-ea"/>
              <a:cs typeface="+mn-cs"/>
            </a:rPr>
            <a:t>c) You spend </a:t>
          </a:r>
          <a:r>
            <a:rPr lang="en-US" sz="1100" b="1" baseline="0">
              <a:solidFill>
                <a:schemeClr val="dk1"/>
              </a:solidFill>
              <a:effectLst/>
              <a:latin typeface="+mn-lt"/>
              <a:ea typeface="+mn-ea"/>
              <a:cs typeface="+mn-cs"/>
            </a:rPr>
            <a:t>crypto</a:t>
          </a:r>
          <a:r>
            <a:rPr lang="en-US" sz="1100" baseline="0">
              <a:solidFill>
                <a:schemeClr val="dk1"/>
              </a:solidFill>
              <a:effectLst/>
              <a:latin typeface="+mn-lt"/>
              <a:ea typeface="+mn-ea"/>
              <a:cs typeface="+mn-cs"/>
            </a:rPr>
            <a:t>(which you bought earlier at some point) and you </a:t>
          </a:r>
          <a:r>
            <a:rPr lang="en-US" sz="1100" b="1" baseline="0">
              <a:solidFill>
                <a:schemeClr val="dk1"/>
              </a:solidFill>
              <a:effectLst/>
              <a:latin typeface="+mn-lt"/>
              <a:ea typeface="+mn-ea"/>
              <a:cs typeface="+mn-cs"/>
            </a:rPr>
            <a:t>recieve</a:t>
          </a:r>
          <a:r>
            <a:rPr lang="en-US" sz="1100" baseline="0">
              <a:solidFill>
                <a:schemeClr val="dk1"/>
              </a:solidFill>
              <a:effectLst/>
              <a:latin typeface="+mn-lt"/>
              <a:ea typeface="+mn-ea"/>
              <a:cs typeface="+mn-cs"/>
            </a:rPr>
            <a:t> another </a:t>
          </a:r>
          <a:r>
            <a:rPr lang="en-US" sz="1100" b="1" baseline="0">
              <a:solidFill>
                <a:schemeClr val="dk1"/>
              </a:solidFill>
              <a:effectLst/>
              <a:latin typeface="+mn-lt"/>
              <a:ea typeface="+mn-ea"/>
              <a:cs typeface="+mn-cs"/>
            </a:rPr>
            <a:t>crypto</a:t>
          </a:r>
          <a:r>
            <a:rPr lang="en-US" sz="1100" baseline="0">
              <a:solidFill>
                <a:schemeClr val="dk1"/>
              </a:solidFill>
              <a:effectLst/>
              <a:latin typeface="+mn-lt"/>
              <a:ea typeface="+mn-ea"/>
              <a:cs typeface="+mn-cs"/>
            </a:rPr>
            <a:t>. &lt;-- </a:t>
          </a:r>
          <a:r>
            <a:rPr lang="en-US" sz="1100" b="1" baseline="0">
              <a:solidFill>
                <a:schemeClr val="dk1"/>
              </a:solidFill>
              <a:effectLst/>
              <a:latin typeface="+mn-lt"/>
              <a:ea typeface="+mn-ea"/>
              <a:cs typeface="+mn-cs"/>
            </a:rPr>
            <a:t>Trading</a:t>
          </a: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crypto</a:t>
          </a:r>
          <a:r>
            <a:rPr lang="en-US" sz="1100" baseline="0">
              <a:solidFill>
                <a:schemeClr val="dk1"/>
              </a:solidFill>
              <a:effectLst/>
              <a:latin typeface="+mn-lt"/>
              <a:ea typeface="+mn-ea"/>
              <a:cs typeface="+mn-cs"/>
            </a:rPr>
            <a:t> for </a:t>
          </a:r>
          <a:r>
            <a:rPr lang="en-US" sz="1100" b="1" baseline="0">
              <a:solidFill>
                <a:schemeClr val="dk1"/>
              </a:solidFill>
              <a:effectLst/>
              <a:latin typeface="+mn-lt"/>
              <a:ea typeface="+mn-ea"/>
              <a:cs typeface="+mn-cs"/>
            </a:rPr>
            <a:t>crypto</a:t>
          </a:r>
          <a:endParaRPr lang="sk-SK">
            <a:effectLst/>
          </a:endParaRPr>
        </a:p>
      </xdr:txBody>
    </xdr:sp>
    <xdr:clientData/>
  </xdr:twoCellAnchor>
  <xdr:twoCellAnchor>
    <xdr:from>
      <xdr:col>1</xdr:col>
      <xdr:colOff>0</xdr:colOff>
      <xdr:row>65</xdr:row>
      <xdr:rowOff>188321</xdr:rowOff>
    </xdr:from>
    <xdr:to>
      <xdr:col>10</xdr:col>
      <xdr:colOff>4626</xdr:colOff>
      <xdr:row>68</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11445240" y="13256621"/>
          <a:ext cx="8379006" cy="554629"/>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If you are having </a:t>
          </a:r>
          <a:r>
            <a:rPr lang="en-US" sz="1100" b="1" baseline="0">
              <a:solidFill>
                <a:schemeClr val="dk1"/>
              </a:solidFill>
              <a:effectLst/>
              <a:latin typeface="+mn-lt"/>
              <a:ea typeface="+mn-ea"/>
              <a:cs typeface="+mn-cs"/>
            </a:rPr>
            <a:t>problems</a:t>
          </a:r>
          <a:r>
            <a:rPr lang="en-US" sz="1100" b="0" baseline="0">
              <a:solidFill>
                <a:schemeClr val="dk1"/>
              </a:solidFill>
              <a:effectLst/>
              <a:latin typeface="+mn-lt"/>
              <a:ea typeface="+mn-ea"/>
              <a:cs typeface="+mn-cs"/>
            </a:rPr>
            <a:t> with </a:t>
          </a:r>
          <a:r>
            <a:rPr lang="en-US" sz="1100" b="1" baseline="0">
              <a:solidFill>
                <a:schemeClr val="dk1"/>
              </a:solidFill>
              <a:effectLst/>
              <a:latin typeface="+mn-lt"/>
              <a:ea typeface="+mn-ea"/>
              <a:cs typeface="+mn-cs"/>
            </a:rPr>
            <a:t>fees</a:t>
          </a:r>
          <a:r>
            <a:rPr lang="en-US" sz="1100" b="0" baseline="0">
              <a:solidFill>
                <a:schemeClr val="dk1"/>
              </a:solidFill>
              <a:effectLst/>
              <a:latin typeface="+mn-lt"/>
              <a:ea typeface="+mn-ea"/>
              <a:cs typeface="+mn-cs"/>
            </a:rPr>
            <a:t> then write everywhere </a:t>
          </a:r>
          <a:r>
            <a:rPr lang="en-US" sz="1100" b="1" baseline="0">
              <a:solidFill>
                <a:schemeClr val="dk1"/>
              </a:solidFill>
              <a:effectLst/>
              <a:latin typeface="+mn-lt"/>
              <a:ea typeface="+mn-ea"/>
              <a:cs typeface="+mn-cs"/>
            </a:rPr>
            <a:t>0</a:t>
          </a:r>
          <a:r>
            <a:rPr lang="en-US" sz="1100" b="0" baseline="0">
              <a:solidFill>
                <a:schemeClr val="dk1"/>
              </a:solidFill>
              <a:effectLst/>
              <a:latin typeface="+mn-lt"/>
              <a:ea typeface="+mn-ea"/>
              <a:cs typeface="+mn-cs"/>
            </a:rPr>
            <a:t> so the transaction values wont get messed up. You can then create </a:t>
          </a:r>
          <a:r>
            <a:rPr lang="en-US" sz="1100" b="1" baseline="0">
              <a:solidFill>
                <a:schemeClr val="dk1"/>
              </a:solidFill>
              <a:effectLst/>
              <a:latin typeface="+mn-lt"/>
              <a:ea typeface="+mn-ea"/>
              <a:cs typeface="+mn-cs"/>
            </a:rPr>
            <a:t>another row </a:t>
          </a:r>
          <a:r>
            <a:rPr lang="en-US" sz="1100" b="0" baseline="0">
              <a:solidFill>
                <a:schemeClr val="dk1"/>
              </a:solidFill>
              <a:effectLst/>
              <a:latin typeface="+mn-lt"/>
              <a:ea typeface="+mn-ea"/>
              <a:cs typeface="+mn-cs"/>
            </a:rPr>
            <a:t>and just fill in the </a:t>
          </a:r>
          <a:r>
            <a:rPr lang="en-US" sz="1100" b="1" baseline="0">
              <a:solidFill>
                <a:schemeClr val="dk1"/>
              </a:solidFill>
              <a:effectLst/>
              <a:latin typeface="+mn-lt"/>
              <a:ea typeface="+mn-ea"/>
              <a:cs typeface="+mn-cs"/>
            </a:rPr>
            <a:t>combined fees</a:t>
          </a:r>
          <a:r>
            <a:rPr lang="en-US" sz="1100" b="0" baseline="0">
              <a:solidFill>
                <a:schemeClr val="dk1"/>
              </a:solidFill>
              <a:effectLst/>
              <a:latin typeface="+mn-lt"/>
              <a:ea typeface="+mn-ea"/>
              <a:cs typeface="+mn-cs"/>
            </a:rPr>
            <a:t> of all transactions</a:t>
          </a:r>
          <a:r>
            <a:rPr lang="en-US" sz="1100" b="1" baseline="0">
              <a:solidFill>
                <a:schemeClr val="dk1"/>
              </a:solidFill>
              <a:effectLst/>
              <a:latin typeface="+mn-lt"/>
              <a:ea typeface="+mn-ea"/>
              <a:cs typeface="+mn-cs"/>
            </a:rPr>
            <a:t>.</a:t>
          </a:r>
          <a:r>
            <a:rPr lang="en-US" sz="1100" b="0" baseline="0">
              <a:solidFill>
                <a:schemeClr val="dk1"/>
              </a:solidFill>
              <a:effectLst/>
              <a:latin typeface="+mn-lt"/>
              <a:ea typeface="+mn-ea"/>
              <a:cs typeface="+mn-cs"/>
            </a:rPr>
            <a:t> </a:t>
          </a:r>
          <a:r>
            <a:rPr lang="en-US" sz="1100" b="1" u="sng" baseline="0">
              <a:solidFill>
                <a:schemeClr val="dk1"/>
              </a:solidFill>
              <a:effectLst/>
              <a:latin typeface="+mn-lt"/>
              <a:ea typeface="+mn-ea"/>
              <a:cs typeface="+mn-cs"/>
            </a:rPr>
            <a:t>EXAMPLE:</a:t>
          </a:r>
          <a:endParaRPr lang="sk-SK" b="1" u="sng">
            <a:effectLst/>
          </a:endParaRPr>
        </a:p>
        <a:p>
          <a:pPr algn="l"/>
          <a:endParaRPr lang="sk-SK" sz="1100"/>
        </a:p>
      </xdr:txBody>
    </xdr:sp>
    <xdr:clientData/>
  </xdr:twoCellAnchor>
  <xdr:twoCellAnchor>
    <xdr:from>
      <xdr:col>1</xdr:col>
      <xdr:colOff>8709</xdr:colOff>
      <xdr:row>7</xdr:row>
      <xdr:rowOff>10885</xdr:rowOff>
    </xdr:from>
    <xdr:to>
      <xdr:col>10</xdr:col>
      <xdr:colOff>0</xdr:colOff>
      <xdr:row>8</xdr:row>
      <xdr:rowOff>21771</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11453949" y="1953985"/>
          <a:ext cx="8365671" cy="20138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aseline="0">
              <a:solidFill>
                <a:schemeClr val="dk1"/>
              </a:solidFill>
              <a:effectLst/>
              <a:latin typeface="+mn-lt"/>
              <a:ea typeface="+mn-ea"/>
              <a:cs typeface="+mn-cs"/>
            </a:rPr>
            <a:t>In many cells if you click at them, </a:t>
          </a:r>
          <a:r>
            <a:rPr lang="en-US" sz="1100" b="1" baseline="0">
              <a:solidFill>
                <a:schemeClr val="dk1"/>
              </a:solidFill>
              <a:effectLst/>
              <a:latin typeface="+mn-lt"/>
              <a:ea typeface="+mn-ea"/>
              <a:cs typeface="+mn-cs"/>
            </a:rPr>
            <a:t>alerts</a:t>
          </a:r>
          <a:r>
            <a:rPr lang="en-US" sz="1100" baseline="0">
              <a:solidFill>
                <a:schemeClr val="dk1"/>
              </a:solidFill>
              <a:effectLst/>
              <a:latin typeface="+mn-lt"/>
              <a:ea typeface="+mn-ea"/>
              <a:cs typeface="+mn-cs"/>
            </a:rPr>
            <a:t> and </a:t>
          </a:r>
          <a:r>
            <a:rPr lang="en-US" sz="1100" b="1" baseline="0">
              <a:solidFill>
                <a:schemeClr val="dk1"/>
              </a:solidFill>
              <a:effectLst/>
              <a:latin typeface="+mn-lt"/>
              <a:ea typeface="+mn-ea"/>
              <a:cs typeface="+mn-cs"/>
            </a:rPr>
            <a:t>info</a:t>
          </a:r>
          <a:r>
            <a:rPr lang="en-US" sz="1100" baseline="0">
              <a:solidFill>
                <a:schemeClr val="dk1"/>
              </a:solidFill>
              <a:effectLst/>
              <a:latin typeface="+mn-lt"/>
              <a:ea typeface="+mn-ea"/>
              <a:cs typeface="+mn-cs"/>
            </a:rPr>
            <a:t> will pop up. You can then drag the alert box to the corner if you want to. </a:t>
          </a:r>
          <a:r>
            <a:rPr lang="en-US" sz="1100" b="1" u="sng" baseline="0">
              <a:solidFill>
                <a:schemeClr val="dk1"/>
              </a:solidFill>
              <a:effectLst/>
              <a:latin typeface="+mn-lt"/>
              <a:ea typeface="+mn-ea"/>
              <a:cs typeface="+mn-cs"/>
            </a:rPr>
            <a:t>EXAMPLE:</a:t>
          </a:r>
          <a:endParaRPr lang="sk-SK" b="1" u="sng">
            <a:effectLst/>
          </a:endParaRPr>
        </a:p>
      </xdr:txBody>
    </xdr:sp>
    <xdr:clientData/>
  </xdr:twoCellAnchor>
  <xdr:twoCellAnchor>
    <xdr:from>
      <xdr:col>1</xdr:col>
      <xdr:colOff>8709</xdr:colOff>
      <xdr:row>15</xdr:row>
      <xdr:rowOff>10887</xdr:rowOff>
    </xdr:from>
    <xdr:to>
      <xdr:col>10</xdr:col>
      <xdr:colOff>0</xdr:colOff>
      <xdr:row>16</xdr:row>
      <xdr:rowOff>1</xdr:rowOff>
    </xdr:to>
    <xdr:sp macro="" textlink="">
      <xdr:nvSpPr>
        <xdr:cNvPr id="16" name="TextBox 15">
          <a:extLst>
            <a:ext uri="{FF2B5EF4-FFF2-40B4-BE49-F238E27FC236}">
              <a16:creationId xmlns:a16="http://schemas.microsoft.com/office/drawing/2014/main" id="{00000000-0008-0000-0100-000010000000}"/>
            </a:ext>
          </a:extLst>
        </xdr:cNvPr>
        <xdr:cNvSpPr txBox="1"/>
      </xdr:nvSpPr>
      <xdr:spPr>
        <a:xfrm>
          <a:off x="11453949" y="3493227"/>
          <a:ext cx="8365671" cy="19485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aseline="0">
              <a:solidFill>
                <a:schemeClr val="dk1"/>
              </a:solidFill>
              <a:effectLst/>
              <a:latin typeface="+mn-lt"/>
              <a:ea typeface="+mn-ea"/>
              <a:cs typeface="+mn-cs"/>
            </a:rPr>
            <a:t>Also it is important that you </a:t>
          </a:r>
          <a:r>
            <a:rPr lang="en-US" sz="1100" b="1" baseline="0">
              <a:solidFill>
                <a:schemeClr val="dk1"/>
              </a:solidFill>
              <a:effectLst/>
              <a:latin typeface="+mn-lt"/>
              <a:ea typeface="+mn-ea"/>
              <a:cs typeface="+mn-cs"/>
            </a:rPr>
            <a:t>DO NOT DELETE </a:t>
          </a:r>
          <a:r>
            <a:rPr lang="en-US" sz="1100" baseline="0">
              <a:solidFill>
                <a:schemeClr val="dk1"/>
              </a:solidFill>
              <a:effectLst/>
              <a:latin typeface="+mn-lt"/>
              <a:ea typeface="+mn-ea"/>
              <a:cs typeface="+mn-cs"/>
            </a:rPr>
            <a:t>the the </a:t>
          </a:r>
          <a:r>
            <a:rPr lang="en-US" sz="1100" b="1" baseline="0">
              <a:solidFill>
                <a:schemeClr val="dk1"/>
              </a:solidFill>
              <a:effectLst/>
              <a:latin typeface="+mn-lt"/>
              <a:ea typeface="+mn-ea"/>
              <a:cs typeface="+mn-cs"/>
            </a:rPr>
            <a:t>ROW</a:t>
          </a:r>
          <a:r>
            <a:rPr lang="en-US" sz="1100" baseline="0">
              <a:solidFill>
                <a:schemeClr val="dk1"/>
              </a:solidFill>
              <a:effectLst/>
              <a:latin typeface="+mn-lt"/>
              <a:ea typeface="+mn-ea"/>
              <a:cs typeface="+mn-cs"/>
            </a:rPr>
            <a:t> above the buttons. </a:t>
          </a:r>
          <a:r>
            <a:rPr lang="en-US" sz="1100" b="1" u="sng" baseline="0">
              <a:solidFill>
                <a:schemeClr val="dk1"/>
              </a:solidFill>
              <a:effectLst/>
              <a:latin typeface="+mn-lt"/>
              <a:ea typeface="+mn-ea"/>
              <a:cs typeface="+mn-cs"/>
            </a:rPr>
            <a:t>EXAMPLE:</a:t>
          </a:r>
          <a:r>
            <a:rPr lang="en-US" sz="1100" b="0" u="none" baseline="0">
              <a:solidFill>
                <a:schemeClr val="dk1"/>
              </a:solidFill>
              <a:effectLst/>
              <a:latin typeface="+mn-lt"/>
              <a:ea typeface="+mn-ea"/>
              <a:cs typeface="+mn-cs"/>
            </a:rPr>
            <a:t>The last row above the buttons.</a:t>
          </a:r>
          <a:endParaRPr lang="sk-SK" b="0" u="none">
            <a:effectLst/>
          </a:endParaRPr>
        </a:p>
      </xdr:txBody>
    </xdr:sp>
    <xdr:clientData/>
  </xdr:twoCellAnchor>
  <xdr:twoCellAnchor>
    <xdr:from>
      <xdr:col>1</xdr:col>
      <xdr:colOff>28575</xdr:colOff>
      <xdr:row>11</xdr:row>
      <xdr:rowOff>3266</xdr:rowOff>
    </xdr:from>
    <xdr:to>
      <xdr:col>9</xdr:col>
      <xdr:colOff>877751</xdr:colOff>
      <xdr:row>12</xdr:row>
      <xdr:rowOff>47625</xdr:rowOff>
    </xdr:to>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11473815" y="2723606"/>
          <a:ext cx="8347256" cy="234859"/>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aseline="0">
              <a:solidFill>
                <a:schemeClr val="dk1"/>
              </a:solidFill>
              <a:effectLst/>
              <a:latin typeface="+mn-lt"/>
              <a:ea typeface="+mn-ea"/>
              <a:cs typeface="+mn-cs"/>
            </a:rPr>
            <a:t>When you see </a:t>
          </a:r>
          <a:r>
            <a:rPr lang="en-US" sz="1100" b="1" baseline="0">
              <a:solidFill>
                <a:schemeClr val="dk1"/>
              </a:solidFill>
              <a:effectLst/>
              <a:latin typeface="+mn-lt"/>
              <a:ea typeface="+mn-ea"/>
              <a:cs typeface="+mn-cs"/>
            </a:rPr>
            <a:t>"######"</a:t>
          </a:r>
          <a:r>
            <a:rPr lang="en-US" sz="1100" baseline="0">
              <a:solidFill>
                <a:schemeClr val="dk1"/>
              </a:solidFill>
              <a:effectLst/>
              <a:latin typeface="+mn-lt"/>
              <a:ea typeface="+mn-ea"/>
              <a:cs typeface="+mn-cs"/>
            </a:rPr>
            <a:t> &lt;-- something like this...that means that the column is </a:t>
          </a:r>
          <a:r>
            <a:rPr lang="en-US" sz="1100" b="1" baseline="0">
              <a:solidFill>
                <a:schemeClr val="dk1"/>
              </a:solidFill>
              <a:effectLst/>
              <a:latin typeface="+mn-lt"/>
              <a:ea typeface="+mn-ea"/>
              <a:cs typeface="+mn-cs"/>
            </a:rPr>
            <a:t>too short </a:t>
          </a:r>
          <a:r>
            <a:rPr lang="en-US" sz="1100" baseline="0">
              <a:solidFill>
                <a:schemeClr val="dk1"/>
              </a:solidFill>
              <a:effectLst/>
              <a:latin typeface="+mn-lt"/>
              <a:ea typeface="+mn-ea"/>
              <a:cs typeface="+mn-cs"/>
            </a:rPr>
            <a:t>to </a:t>
          </a:r>
          <a:r>
            <a:rPr lang="en-US" sz="1100" b="1" baseline="0">
              <a:solidFill>
                <a:schemeClr val="dk1"/>
              </a:solidFill>
              <a:effectLst/>
              <a:latin typeface="+mn-lt"/>
              <a:ea typeface="+mn-ea"/>
              <a:cs typeface="+mn-cs"/>
            </a:rPr>
            <a:t>display</a:t>
          </a:r>
          <a:r>
            <a:rPr lang="en-US" sz="1100" baseline="0">
              <a:solidFill>
                <a:schemeClr val="dk1"/>
              </a:solidFill>
              <a:effectLst/>
              <a:latin typeface="+mn-lt"/>
              <a:ea typeface="+mn-ea"/>
              <a:cs typeface="+mn-cs"/>
            </a:rPr>
            <a:t> the value. Just drag it wider. </a:t>
          </a:r>
          <a:r>
            <a:rPr lang="en-US" sz="1100" b="1" u="sng" baseline="0">
              <a:solidFill>
                <a:schemeClr val="dk1"/>
              </a:solidFill>
              <a:effectLst/>
              <a:latin typeface="+mn-lt"/>
              <a:ea typeface="+mn-ea"/>
              <a:cs typeface="+mn-cs"/>
            </a:rPr>
            <a:t>EXAMPLE:</a:t>
          </a:r>
          <a:endParaRPr lang="sk-SK" b="1" u="sng">
            <a:effectLst/>
          </a:endParaRPr>
        </a:p>
      </xdr:txBody>
    </xdr:sp>
    <xdr:clientData/>
  </xdr:twoCellAnchor>
  <xdr:twoCellAnchor>
    <xdr:from>
      <xdr:col>13</xdr:col>
      <xdr:colOff>0</xdr:colOff>
      <xdr:row>32</xdr:row>
      <xdr:rowOff>0</xdr:rowOff>
    </xdr:from>
    <xdr:to>
      <xdr:col>22</xdr:col>
      <xdr:colOff>0</xdr:colOff>
      <xdr:row>39</xdr:row>
      <xdr:rowOff>2</xdr:rowOff>
    </xdr:to>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22654260" y="6781800"/>
          <a:ext cx="8503920" cy="1333502"/>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You</a:t>
          </a:r>
          <a:r>
            <a:rPr lang="en-US" sz="1100" b="0" u="none" baseline="0"/>
            <a:t> can see that:</a:t>
          </a:r>
        </a:p>
        <a:p>
          <a:pPr algn="l"/>
          <a:r>
            <a:rPr lang="en-US" sz="1100" b="0" u="none" baseline="0"/>
            <a:t>- always </a:t>
          </a:r>
          <a:r>
            <a:rPr lang="en-US" sz="1100" b="1" u="none" baseline="0"/>
            <a:t>first</a:t>
          </a:r>
          <a:r>
            <a:rPr lang="en-US" sz="1100" b="0" u="none" baseline="0"/>
            <a:t> </a:t>
          </a:r>
          <a:r>
            <a:rPr lang="en-US" sz="1100" b="1" u="none" baseline="0"/>
            <a:t>spend</a:t>
          </a:r>
          <a:r>
            <a:rPr lang="en-US" sz="1100" b="0" u="none" baseline="0"/>
            <a:t> </a:t>
          </a:r>
          <a:r>
            <a:rPr lang="en-US" sz="1100" b="1" u="none" baseline="0"/>
            <a:t>then</a:t>
          </a:r>
          <a:r>
            <a:rPr lang="en-US" sz="1100" b="0" u="none" baseline="0"/>
            <a:t> </a:t>
          </a:r>
          <a:r>
            <a:rPr lang="en-US" sz="1100" b="1" u="none" baseline="0"/>
            <a:t>recieve</a:t>
          </a:r>
          <a:r>
            <a:rPr lang="en-US" sz="1100" b="0" u="none" baseline="0"/>
            <a:t>. Always grouped up </a:t>
          </a:r>
          <a:r>
            <a:rPr lang="en-US" sz="1100" b="1" u="none" baseline="0"/>
            <a:t>in</a:t>
          </a:r>
          <a:r>
            <a:rPr lang="en-US" sz="1100" b="0" u="none" baseline="0"/>
            <a:t> </a:t>
          </a:r>
          <a:r>
            <a:rPr lang="en-US" sz="1100" b="1" u="none" baseline="0"/>
            <a:t>two</a:t>
          </a:r>
          <a:r>
            <a:rPr lang="en-US" sz="1100" b="0" u="none" baseline="0"/>
            <a:t> rows </a:t>
          </a:r>
          <a:r>
            <a:rPr lang="en-US" sz="1100" b="1" u="none" baseline="0"/>
            <a:t>next</a:t>
          </a:r>
          <a:r>
            <a:rPr lang="en-US" sz="1100" b="0" u="none" baseline="0"/>
            <a:t> to each other. Always a </a:t>
          </a:r>
          <a:r>
            <a:rPr lang="en-US" sz="1100" b="1" u="none" baseline="0"/>
            <a:t>minute</a:t>
          </a:r>
          <a:r>
            <a:rPr lang="en-US" sz="1100" b="0" u="none" baseline="0"/>
            <a:t> </a:t>
          </a:r>
          <a:r>
            <a:rPr lang="en-US" sz="1100" b="1" u="none" baseline="0"/>
            <a:t>apart</a:t>
          </a:r>
          <a:r>
            <a:rPr lang="en-US" sz="1100" b="0" u="none" baseline="0"/>
            <a:t> from each other. </a:t>
          </a:r>
        </a:p>
        <a:p>
          <a:pPr algn="l"/>
          <a:r>
            <a:rPr lang="en-US" sz="1100" b="0" u="none" baseline="0"/>
            <a:t>- the </a:t>
          </a:r>
          <a:r>
            <a:rPr lang="en-US" sz="1100" b="1" u="none" baseline="0"/>
            <a:t>spend</a:t>
          </a:r>
          <a:r>
            <a:rPr lang="en-US" sz="1100" b="0" u="none" baseline="0"/>
            <a:t> is always a </a:t>
          </a:r>
          <a:r>
            <a:rPr lang="en-US" sz="1100" b="1" u="none" baseline="0"/>
            <a:t>negative</a:t>
          </a:r>
          <a:r>
            <a:rPr lang="en-US" sz="1100" b="0" u="none" baseline="0"/>
            <a:t> number. </a:t>
          </a:r>
        </a:p>
        <a:p>
          <a:pPr algn="l"/>
          <a:r>
            <a:rPr lang="en-US" sz="1100" b="0" u="none" baseline="0"/>
            <a:t>- the </a:t>
          </a:r>
          <a:r>
            <a:rPr lang="en-US" sz="1100" b="1" u="none" baseline="0"/>
            <a:t>fee</a:t>
          </a:r>
          <a:r>
            <a:rPr lang="en-US" sz="1100" b="0" u="none" baseline="0"/>
            <a:t> is alwas </a:t>
          </a:r>
          <a:r>
            <a:rPr lang="en-US" sz="1100" b="1" u="none" baseline="0"/>
            <a:t>deducted just once</a:t>
          </a:r>
          <a:r>
            <a:rPr lang="en-US" sz="1100" b="0" u="none" baseline="0"/>
            <a:t>. Never write the same fee twice, because it will count as two fees deducted.</a:t>
          </a:r>
          <a:endParaRPr lang="sk-SK" sz="1100" b="0" u="none"/>
        </a:p>
      </xdr:txBody>
    </xdr:sp>
    <xdr:clientData/>
  </xdr:twoCellAnchor>
  <xdr:twoCellAnchor>
    <xdr:from>
      <xdr:col>13</xdr:col>
      <xdr:colOff>10886</xdr:colOff>
      <xdr:row>41</xdr:row>
      <xdr:rowOff>161925</xdr:rowOff>
    </xdr:from>
    <xdr:to>
      <xdr:col>22</xdr:col>
      <xdr:colOff>10886</xdr:colOff>
      <xdr:row>42</xdr:row>
      <xdr:rowOff>171449</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22665146" y="8658225"/>
          <a:ext cx="8503920" cy="20002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baseline="0"/>
            <a:t>1.)Fill in the [</a:t>
          </a:r>
          <a:r>
            <a:rPr lang="en-US" sz="1100" b="1" u="none" baseline="0"/>
            <a:t>Date</a:t>
          </a:r>
          <a:r>
            <a:rPr lang="en-US" sz="1100" b="0" u="none" baseline="0"/>
            <a:t>]. In "spend" and "recieve" should be the date at least a minute or second </a:t>
          </a:r>
          <a:r>
            <a:rPr lang="en-US" sz="1100" b="1" u="none" baseline="0"/>
            <a:t>apart</a:t>
          </a:r>
          <a:r>
            <a:rPr lang="en-US" sz="1100" b="0" u="none" baseline="0"/>
            <a:t>. Date of spend is always </a:t>
          </a:r>
          <a:r>
            <a:rPr lang="en-US" sz="1100" b="1" u="none" baseline="0"/>
            <a:t>sooner</a:t>
          </a:r>
          <a:r>
            <a:rPr lang="en-US" sz="1100" b="0" u="none" baseline="0"/>
            <a:t>.</a:t>
          </a:r>
          <a:endParaRPr lang="sk-SK" sz="1100" b="0" u="none"/>
        </a:p>
      </xdr:txBody>
    </xdr:sp>
    <xdr:clientData/>
  </xdr:twoCellAnchor>
  <xdr:twoCellAnchor>
    <xdr:from>
      <xdr:col>13</xdr:col>
      <xdr:colOff>0</xdr:colOff>
      <xdr:row>47</xdr:row>
      <xdr:rowOff>1</xdr:rowOff>
    </xdr:from>
    <xdr:to>
      <xdr:col>22</xdr:col>
      <xdr:colOff>0</xdr:colOff>
      <xdr:row>47</xdr:row>
      <xdr:rowOff>185057</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22654260" y="9639301"/>
          <a:ext cx="8503920" cy="18505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2.) Fill in</a:t>
          </a:r>
          <a:r>
            <a:rPr lang="en-US" sz="1100" b="0" u="none" baseline="0"/>
            <a:t> the [</a:t>
          </a:r>
          <a:r>
            <a:rPr lang="en-US" sz="1100" b="1" u="none" baseline="0"/>
            <a:t>Type</a:t>
          </a:r>
          <a:r>
            <a:rPr lang="en-US" sz="1100" b="0" u="none" baseline="0"/>
            <a:t>]. First comes the "</a:t>
          </a:r>
          <a:r>
            <a:rPr lang="en-US" sz="1100" b="1" u="none" baseline="0"/>
            <a:t>spend</a:t>
          </a:r>
          <a:r>
            <a:rPr lang="en-US" sz="1100" b="0" u="none" baseline="0"/>
            <a:t>" and then the "</a:t>
          </a:r>
          <a:r>
            <a:rPr lang="en-US" sz="1100" b="1" u="none" baseline="0"/>
            <a:t>recieve</a:t>
          </a:r>
          <a:r>
            <a:rPr lang="en-US" sz="1100" b="0" baseline="0">
              <a:solidFill>
                <a:schemeClr val="dk1"/>
              </a:solidFill>
              <a:effectLst/>
              <a:latin typeface="+mn-lt"/>
              <a:ea typeface="+mn-ea"/>
              <a:cs typeface="+mn-cs"/>
            </a:rPr>
            <a:t>"</a:t>
          </a:r>
          <a:r>
            <a:rPr lang="en-US" sz="1100" b="0" u="none" baseline="0"/>
            <a:t>. </a:t>
          </a:r>
          <a:endParaRPr lang="sk-SK" sz="1100" b="0" u="none"/>
        </a:p>
      </xdr:txBody>
    </xdr:sp>
    <xdr:clientData/>
  </xdr:twoCellAnchor>
  <xdr:twoCellAnchor>
    <xdr:from>
      <xdr:col>13</xdr:col>
      <xdr:colOff>0</xdr:colOff>
      <xdr:row>52</xdr:row>
      <xdr:rowOff>0</xdr:rowOff>
    </xdr:from>
    <xdr:to>
      <xdr:col>22</xdr:col>
      <xdr:colOff>0</xdr:colOff>
      <xdr:row>52</xdr:row>
      <xdr:rowOff>185056</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22654260" y="10591800"/>
          <a:ext cx="8503920" cy="18505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3.) Fill</a:t>
          </a:r>
          <a:r>
            <a:rPr lang="en-US" sz="1100" b="0" u="none" baseline="0"/>
            <a:t> in the [</a:t>
          </a:r>
          <a:r>
            <a:rPr lang="en-US" sz="1100" b="1" u="none" baseline="0"/>
            <a:t>Asset</a:t>
          </a:r>
          <a:r>
            <a:rPr lang="en-US" sz="1100" b="0" u="none" baseline="0"/>
            <a:t>]. First comes the asset you </a:t>
          </a:r>
          <a:r>
            <a:rPr lang="en-US" sz="1100" b="1" u="none" baseline="0"/>
            <a:t>spent </a:t>
          </a:r>
          <a:r>
            <a:rPr lang="en-US" sz="1100" b="0" u="none" baseline="0"/>
            <a:t>and then the one you </a:t>
          </a:r>
          <a:r>
            <a:rPr lang="en-US" sz="1100" b="1" u="none" baseline="0"/>
            <a:t>recieved</a:t>
          </a:r>
          <a:r>
            <a:rPr lang="en-US" sz="1100" b="0" u="none" baseline="0"/>
            <a:t>. </a:t>
          </a:r>
          <a:endParaRPr lang="sk-SK" sz="1100" b="0" u="none"/>
        </a:p>
      </xdr:txBody>
    </xdr:sp>
    <xdr:clientData/>
  </xdr:twoCellAnchor>
  <xdr:twoCellAnchor>
    <xdr:from>
      <xdr:col>13</xdr:col>
      <xdr:colOff>0</xdr:colOff>
      <xdr:row>57</xdr:row>
      <xdr:rowOff>0</xdr:rowOff>
    </xdr:from>
    <xdr:to>
      <xdr:col>22</xdr:col>
      <xdr:colOff>0</xdr:colOff>
      <xdr:row>57</xdr:row>
      <xdr:rowOff>185056</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22654260" y="11544300"/>
          <a:ext cx="8503920" cy="18505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4.) Fill</a:t>
          </a:r>
          <a:r>
            <a:rPr lang="en-US" sz="1100" b="0" u="none" baseline="0"/>
            <a:t> </a:t>
          </a:r>
          <a:r>
            <a:rPr lang="en-US" sz="1100" b="0" u="none"/>
            <a:t>in</a:t>
          </a:r>
          <a:r>
            <a:rPr lang="en-US" sz="1100" b="0" u="none" baseline="0"/>
            <a:t> the [</a:t>
          </a:r>
          <a:r>
            <a:rPr lang="en-US" sz="1100" b="1" u="none" baseline="0"/>
            <a:t>Value</a:t>
          </a:r>
          <a:r>
            <a:rPr lang="en-US" sz="1100" b="0" u="none" baseline="0"/>
            <a:t>]. Its the amount you </a:t>
          </a:r>
          <a:r>
            <a:rPr lang="en-US" sz="1100" b="1" u="none" baseline="0"/>
            <a:t>spent</a:t>
          </a:r>
          <a:r>
            <a:rPr lang="en-US" sz="1100" b="0" u="none" baseline="0"/>
            <a:t> and the amount you </a:t>
          </a:r>
          <a:r>
            <a:rPr lang="en-US" sz="1100" b="1" u="none" baseline="0"/>
            <a:t>recieved</a:t>
          </a:r>
          <a:r>
            <a:rPr lang="en-US" sz="1100" b="0" u="none" baseline="0"/>
            <a:t>. Should be the </a:t>
          </a:r>
          <a:r>
            <a:rPr lang="en-US" sz="1100" b="1" u="none" baseline="0"/>
            <a:t>same</a:t>
          </a:r>
          <a:r>
            <a:rPr lang="en-US" sz="1100" b="0" u="none" baseline="0"/>
            <a:t> </a:t>
          </a:r>
          <a:r>
            <a:rPr lang="en-US" sz="1100" b="1" u="none" baseline="0"/>
            <a:t>value</a:t>
          </a:r>
          <a:r>
            <a:rPr lang="en-US" sz="1100" b="0" u="none" baseline="0"/>
            <a:t> in both cases. (not a problem if differs a lil bit)</a:t>
          </a:r>
          <a:endParaRPr lang="sk-SK" sz="1100" b="0" u="none"/>
        </a:p>
      </xdr:txBody>
    </xdr:sp>
    <xdr:clientData/>
  </xdr:twoCellAnchor>
  <xdr:twoCellAnchor>
    <xdr:from>
      <xdr:col>13</xdr:col>
      <xdr:colOff>0</xdr:colOff>
      <xdr:row>62</xdr:row>
      <xdr:rowOff>9523</xdr:rowOff>
    </xdr:from>
    <xdr:to>
      <xdr:col>22</xdr:col>
      <xdr:colOff>0</xdr:colOff>
      <xdr:row>65</xdr:row>
      <xdr:rowOff>180974</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22654260" y="12506323"/>
          <a:ext cx="8503920" cy="742951"/>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5.)Fill</a:t>
          </a:r>
          <a:r>
            <a:rPr lang="en-US" sz="1100" b="0" u="none" baseline="0"/>
            <a:t> </a:t>
          </a:r>
          <a:r>
            <a:rPr lang="en-US" sz="1100" b="0" u="none"/>
            <a:t>in</a:t>
          </a:r>
          <a:r>
            <a:rPr lang="en-US" sz="1100" b="0" u="none" baseline="0"/>
            <a:t> the [</a:t>
          </a:r>
          <a:r>
            <a:rPr lang="en-US" sz="1100" b="1" u="none" baseline="0"/>
            <a:t>Fee</a:t>
          </a:r>
          <a:r>
            <a:rPr lang="en-US" sz="1100" b="0" u="none" baseline="0"/>
            <a:t>]. Fill it in just </a:t>
          </a:r>
          <a:r>
            <a:rPr lang="en-US" sz="1100" b="1" u="none" baseline="0"/>
            <a:t>once.</a:t>
          </a:r>
        </a:p>
        <a:p>
          <a:pPr algn="l"/>
          <a:r>
            <a:rPr lang="en-US" sz="1100" b="0" u="none" baseline="0"/>
            <a:t>Either </a:t>
          </a:r>
          <a:r>
            <a:rPr lang="en-US" sz="1100" b="0" u="sng" baseline="0"/>
            <a:t>where is the "</a:t>
          </a:r>
          <a:r>
            <a:rPr lang="en-US" sz="1100" b="1" u="sng" baseline="0"/>
            <a:t>eur</a:t>
          </a:r>
          <a:r>
            <a:rPr lang="en-US" sz="1100" b="0" u="sng" baseline="0"/>
            <a:t>"(cash for crypto or crypto for cash)  </a:t>
          </a:r>
          <a:r>
            <a:rPr lang="en-US" sz="1100" b="0" u="none" baseline="0"/>
            <a:t>or  </a:t>
          </a:r>
          <a:r>
            <a:rPr lang="en-US" sz="1100" b="0" u="sng" baseline="0">
              <a:solidFill>
                <a:schemeClr val="dk1"/>
              </a:solidFill>
              <a:effectLst/>
              <a:latin typeface="+mn-lt"/>
              <a:ea typeface="+mn-ea"/>
              <a:cs typeface="+mn-cs"/>
            </a:rPr>
            <a:t>fill it in on the "</a:t>
          </a:r>
          <a:r>
            <a:rPr lang="en-US" sz="1100" b="1" u="sng" baseline="0">
              <a:solidFill>
                <a:schemeClr val="dk1"/>
              </a:solidFill>
              <a:effectLst/>
              <a:latin typeface="+mn-lt"/>
              <a:ea typeface="+mn-ea"/>
              <a:cs typeface="+mn-cs"/>
            </a:rPr>
            <a:t>spend</a:t>
          </a:r>
          <a:r>
            <a:rPr lang="en-US" sz="1100" b="0" u="sng" baseline="0">
              <a:solidFill>
                <a:schemeClr val="dk1"/>
              </a:solidFill>
              <a:effectLst/>
              <a:latin typeface="+mn-lt"/>
              <a:ea typeface="+mn-ea"/>
              <a:cs typeface="+mn-cs"/>
            </a:rPr>
            <a:t>" row</a:t>
          </a:r>
          <a:r>
            <a:rPr lang="en-US" sz="1100" b="0" u="none" baseline="0">
              <a:solidFill>
                <a:schemeClr val="dk1"/>
              </a:solidFill>
              <a:effectLst/>
              <a:latin typeface="+mn-lt"/>
              <a:ea typeface="+mn-ea"/>
              <a:cs typeface="+mn-cs"/>
            </a:rPr>
            <a:t>(</a:t>
          </a:r>
          <a:r>
            <a:rPr lang="en-US" sz="1100" b="0" u="none" baseline="0"/>
            <a:t>crypto for crypto).</a:t>
          </a:r>
        </a:p>
        <a:p>
          <a:pPr algn="l"/>
          <a:r>
            <a:rPr lang="en-US" sz="1100" b="0" u="none" baseline="0"/>
            <a:t>In the other row write </a:t>
          </a:r>
          <a:r>
            <a:rPr lang="en-US" sz="1100" b="1" u="none" baseline="0"/>
            <a:t>always</a:t>
          </a:r>
          <a:r>
            <a:rPr lang="en-US" sz="1100" b="0" u="none" baseline="0"/>
            <a:t> </a:t>
          </a:r>
          <a:r>
            <a:rPr lang="en-US" sz="1100" b="1" u="none" baseline="0"/>
            <a:t>0</a:t>
          </a:r>
          <a:r>
            <a:rPr lang="en-US" sz="1100" b="0" u="none" baseline="0"/>
            <a:t>. </a:t>
          </a:r>
          <a:r>
            <a:rPr lang="en-US" sz="1100" b="1" u="none" baseline="0"/>
            <a:t>Fee</a:t>
          </a:r>
          <a:r>
            <a:rPr lang="en-US" sz="1100" b="0" u="none" baseline="0"/>
            <a:t> is always </a:t>
          </a:r>
          <a:r>
            <a:rPr lang="en-US" sz="1100" b="1" u="none" baseline="0"/>
            <a:t>POSITIVE </a:t>
          </a:r>
          <a:r>
            <a:rPr lang="en-US" sz="1100" b="0" u="none" baseline="0"/>
            <a:t>value.</a:t>
          </a:r>
          <a:endParaRPr lang="sk-SK" sz="1100" b="0" u="none"/>
        </a:p>
      </xdr:txBody>
    </xdr:sp>
    <xdr:clientData/>
  </xdr:twoCellAnchor>
  <xdr:twoCellAnchor>
    <xdr:from>
      <xdr:col>13</xdr:col>
      <xdr:colOff>0</xdr:colOff>
      <xdr:row>73</xdr:row>
      <xdr:rowOff>0</xdr:rowOff>
    </xdr:from>
    <xdr:to>
      <xdr:col>22</xdr:col>
      <xdr:colOff>0</xdr:colOff>
      <xdr:row>73</xdr:row>
      <xdr:rowOff>185056</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22654260" y="14592300"/>
          <a:ext cx="8503920" cy="18505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6.) The</a:t>
          </a:r>
          <a:r>
            <a:rPr lang="en-US" sz="1100" b="0" u="none" baseline="0"/>
            <a:t> [</a:t>
          </a:r>
          <a:r>
            <a:rPr lang="en-US" sz="1100" b="1" u="none" baseline="0"/>
            <a:t>Value2</a:t>
          </a:r>
          <a:r>
            <a:rPr lang="en-US" sz="1100" b="0" u="none" baseline="0"/>
            <a:t>] is </a:t>
          </a:r>
          <a:r>
            <a:rPr lang="en-US" sz="1100" b="1" u="none" baseline="0"/>
            <a:t>AUTOFILLED</a:t>
          </a:r>
          <a:r>
            <a:rPr lang="en-US" sz="1100" b="0" u="none" baseline="0"/>
            <a:t>. Its the [Value] - [Fee] values.</a:t>
          </a:r>
          <a:endParaRPr lang="sk-SK" sz="1100" b="0" u="none"/>
        </a:p>
      </xdr:txBody>
    </xdr:sp>
    <xdr:clientData/>
  </xdr:twoCellAnchor>
  <xdr:twoCellAnchor>
    <xdr:from>
      <xdr:col>12</xdr:col>
      <xdr:colOff>1012825</xdr:colOff>
      <xdr:row>82</xdr:row>
      <xdr:rowOff>158750</xdr:rowOff>
    </xdr:from>
    <xdr:to>
      <xdr:col>22</xdr:col>
      <xdr:colOff>25400</xdr:colOff>
      <xdr:row>84</xdr:row>
      <xdr:rowOff>0</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13204825" y="14878050"/>
          <a:ext cx="9172575" cy="19685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8.)</a:t>
          </a:r>
          <a:r>
            <a:rPr lang="en-US" sz="1100" b="0" u="none" baseline="0"/>
            <a:t> Fill in the [</a:t>
          </a:r>
          <a:r>
            <a:rPr lang="en-US" sz="1100" b="1" u="none" baseline="0"/>
            <a:t>Coin value</a:t>
          </a:r>
          <a:r>
            <a:rPr lang="en-US" sz="1100" b="0" u="none" baseline="0"/>
            <a:t>]. Its the value of the coin in the </a:t>
          </a:r>
          <a:r>
            <a:rPr lang="en-US" sz="1100" b="1" u="none" baseline="0"/>
            <a:t>time of purchase</a:t>
          </a:r>
          <a:r>
            <a:rPr lang="en-US" sz="1100" b="0" u="none" baseline="0"/>
            <a:t>. "</a:t>
          </a:r>
          <a:r>
            <a:rPr lang="en-US" sz="1100" b="1" u="none" baseline="0"/>
            <a:t>EUR</a:t>
          </a:r>
          <a:r>
            <a:rPr lang="en-US" sz="1100" b="0" u="none" baseline="0"/>
            <a:t>" coin value is always 1.</a:t>
          </a:r>
          <a:endParaRPr lang="sk-SK" sz="1100" b="0" u="none"/>
        </a:p>
      </xdr:txBody>
    </xdr:sp>
    <xdr:clientData/>
  </xdr:twoCellAnchor>
  <xdr:twoCellAnchor>
    <xdr:from>
      <xdr:col>12</xdr:col>
      <xdr:colOff>1012825</xdr:colOff>
      <xdr:row>78</xdr:row>
      <xdr:rowOff>3174</xdr:rowOff>
    </xdr:from>
    <xdr:to>
      <xdr:col>21</xdr:col>
      <xdr:colOff>1003300</xdr:colOff>
      <xdr:row>79</xdr:row>
      <xdr:rowOff>63499</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13204825" y="14011274"/>
          <a:ext cx="9134475" cy="238125"/>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a:solidFill>
                <a:schemeClr val="dk1"/>
              </a:solidFill>
              <a:effectLst/>
              <a:latin typeface="+mn-lt"/>
              <a:ea typeface="+mn-ea"/>
              <a:cs typeface="+mn-cs"/>
            </a:rPr>
            <a:t>7.)</a:t>
          </a:r>
          <a:r>
            <a:rPr lang="en-US" sz="1100" b="0" baseline="0">
              <a:solidFill>
                <a:schemeClr val="dk1"/>
              </a:solidFill>
              <a:effectLst/>
              <a:latin typeface="+mn-lt"/>
              <a:ea typeface="+mn-ea"/>
              <a:cs typeface="+mn-cs"/>
            </a:rPr>
            <a:t> The [</a:t>
          </a:r>
          <a:r>
            <a:rPr lang="en-US" sz="1100" b="1" baseline="0">
              <a:solidFill>
                <a:schemeClr val="dk1"/>
              </a:solidFill>
              <a:effectLst/>
              <a:latin typeface="+mn-lt"/>
              <a:ea typeface="+mn-ea"/>
              <a:cs typeface="+mn-cs"/>
            </a:rPr>
            <a:t>Quantity</a:t>
          </a:r>
          <a:r>
            <a:rPr lang="en-US" sz="1100" b="0" baseline="0">
              <a:solidFill>
                <a:schemeClr val="dk1"/>
              </a:solidFill>
              <a:effectLst/>
              <a:latin typeface="+mn-lt"/>
              <a:ea typeface="+mn-ea"/>
              <a:cs typeface="+mn-cs"/>
            </a:rPr>
            <a:t>] is </a:t>
          </a:r>
          <a:r>
            <a:rPr lang="en-US" sz="1100" b="1" baseline="0">
              <a:solidFill>
                <a:schemeClr val="dk1"/>
              </a:solidFill>
              <a:effectLst/>
              <a:latin typeface="+mn-lt"/>
              <a:ea typeface="+mn-ea"/>
              <a:cs typeface="+mn-cs"/>
            </a:rPr>
            <a:t>AUTOFILLED</a:t>
          </a:r>
          <a:r>
            <a:rPr lang="en-US" sz="1100" b="0" baseline="0">
              <a:solidFill>
                <a:schemeClr val="dk1"/>
              </a:solidFill>
              <a:effectLst/>
              <a:latin typeface="+mn-lt"/>
              <a:ea typeface="+mn-ea"/>
              <a:cs typeface="+mn-cs"/>
            </a:rPr>
            <a:t>. Its the </a:t>
          </a:r>
          <a:r>
            <a:rPr lang="en-US" sz="1100" b="1" baseline="0">
              <a:solidFill>
                <a:schemeClr val="dk1"/>
              </a:solidFill>
              <a:effectLst/>
              <a:latin typeface="+mn-lt"/>
              <a:ea typeface="+mn-ea"/>
              <a:cs typeface="+mn-cs"/>
            </a:rPr>
            <a:t>number</a:t>
          </a:r>
          <a:r>
            <a:rPr lang="en-US" sz="1100" b="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of coins</a:t>
          </a:r>
          <a:r>
            <a:rPr lang="en-US" sz="1100" b="0" baseline="0">
              <a:solidFill>
                <a:schemeClr val="dk1"/>
              </a:solidFill>
              <a:effectLst/>
              <a:latin typeface="+mn-lt"/>
              <a:ea typeface="+mn-ea"/>
              <a:cs typeface="+mn-cs"/>
            </a:rPr>
            <a:t> of asset you spent and recieved.  First type in the [</a:t>
          </a:r>
          <a:r>
            <a:rPr lang="en-US" sz="1100" b="1" baseline="0">
              <a:solidFill>
                <a:schemeClr val="dk1"/>
              </a:solidFill>
              <a:effectLst/>
              <a:latin typeface="+mn-lt"/>
              <a:ea typeface="+mn-ea"/>
              <a:cs typeface="+mn-cs"/>
            </a:rPr>
            <a:t>Coin value</a:t>
          </a:r>
          <a:r>
            <a:rPr lang="en-US" sz="1100" b="0" baseline="0">
              <a:solidFill>
                <a:schemeClr val="dk1"/>
              </a:solidFill>
              <a:effectLst/>
              <a:latin typeface="+mn-lt"/>
              <a:ea typeface="+mn-ea"/>
              <a:cs typeface="+mn-cs"/>
            </a:rPr>
            <a:t>]</a:t>
          </a:r>
          <a:endParaRPr lang="sk-SK">
            <a:effectLst/>
          </a:endParaRPr>
        </a:p>
      </xdr:txBody>
    </xdr:sp>
    <xdr:clientData/>
  </xdr:twoCellAnchor>
  <xdr:twoCellAnchor>
    <xdr:from>
      <xdr:col>13</xdr:col>
      <xdr:colOff>0</xdr:colOff>
      <xdr:row>88</xdr:row>
      <xdr:rowOff>0</xdr:rowOff>
    </xdr:from>
    <xdr:to>
      <xdr:col>22</xdr:col>
      <xdr:colOff>0</xdr:colOff>
      <xdr:row>88</xdr:row>
      <xdr:rowOff>185056</xdr:rowOff>
    </xdr:to>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22654260" y="17449800"/>
          <a:ext cx="8503920" cy="18505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9.) </a:t>
          </a:r>
          <a:r>
            <a:rPr lang="en-US" sz="1100" b="0" baseline="0">
              <a:solidFill>
                <a:schemeClr val="dk1"/>
              </a:solidFill>
              <a:effectLst/>
              <a:latin typeface="+mn-lt"/>
              <a:ea typeface="+mn-ea"/>
              <a:cs typeface="+mn-cs"/>
            </a:rPr>
            <a:t>The </a:t>
          </a:r>
          <a:r>
            <a:rPr lang="en-US" sz="1100" b="1" baseline="0">
              <a:solidFill>
                <a:schemeClr val="dk1"/>
              </a:solidFill>
              <a:effectLst/>
              <a:latin typeface="+mn-lt"/>
              <a:ea typeface="+mn-ea"/>
              <a:cs typeface="+mn-cs"/>
            </a:rPr>
            <a:t>[% Change</a:t>
          </a:r>
          <a:r>
            <a:rPr lang="en-US" sz="1100" b="0" baseline="0">
              <a:solidFill>
                <a:schemeClr val="dk1"/>
              </a:solidFill>
              <a:effectLst/>
              <a:latin typeface="+mn-lt"/>
              <a:ea typeface="+mn-ea"/>
              <a:cs typeface="+mn-cs"/>
            </a:rPr>
            <a:t>] is </a:t>
          </a:r>
          <a:r>
            <a:rPr lang="en-US" sz="1100" b="1" baseline="0">
              <a:solidFill>
                <a:schemeClr val="dk1"/>
              </a:solidFill>
              <a:effectLst/>
              <a:latin typeface="+mn-lt"/>
              <a:ea typeface="+mn-ea"/>
              <a:cs typeface="+mn-cs"/>
            </a:rPr>
            <a:t>AUTOFILLED </a:t>
          </a:r>
          <a:r>
            <a:rPr lang="en-US" sz="1100" b="0" baseline="0">
              <a:solidFill>
                <a:schemeClr val="dk1"/>
              </a:solidFill>
              <a:effectLst/>
              <a:latin typeface="+mn-lt"/>
              <a:ea typeface="+mn-ea"/>
              <a:cs typeface="+mn-cs"/>
            </a:rPr>
            <a:t>and it is showing you the </a:t>
          </a:r>
          <a:r>
            <a:rPr lang="en-US" sz="1100" b="1" baseline="0">
              <a:solidFill>
                <a:schemeClr val="dk1"/>
              </a:solidFill>
              <a:effectLst/>
              <a:latin typeface="+mn-lt"/>
              <a:ea typeface="+mn-ea"/>
              <a:cs typeface="+mn-cs"/>
            </a:rPr>
            <a:t>percentual difference </a:t>
          </a:r>
          <a:r>
            <a:rPr lang="en-US" sz="1100" b="0" baseline="0">
              <a:solidFill>
                <a:schemeClr val="dk1"/>
              </a:solidFill>
              <a:effectLst/>
              <a:latin typeface="+mn-lt"/>
              <a:ea typeface="+mn-ea"/>
              <a:cs typeface="+mn-cs"/>
            </a:rPr>
            <a:t>between the time of purchase and today. </a:t>
          </a:r>
          <a:endParaRPr lang="sk-SK" sz="1100" b="1" u="none"/>
        </a:p>
      </xdr:txBody>
    </xdr:sp>
    <xdr:clientData/>
  </xdr:twoCellAnchor>
  <xdr:twoCellAnchor>
    <xdr:from>
      <xdr:col>13</xdr:col>
      <xdr:colOff>0</xdr:colOff>
      <xdr:row>93</xdr:row>
      <xdr:rowOff>0</xdr:rowOff>
    </xdr:from>
    <xdr:to>
      <xdr:col>22</xdr:col>
      <xdr:colOff>0</xdr:colOff>
      <xdr:row>93</xdr:row>
      <xdr:rowOff>185056</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22654260" y="18402300"/>
          <a:ext cx="8503920" cy="18505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none"/>
            <a:t>Hope everything is clear.</a:t>
          </a:r>
          <a:r>
            <a:rPr lang="en-US" sz="1100" b="1" u="none" baseline="0"/>
            <a:t> If you managge your purchase history right, then everything else in this workbook is autofilled. Good luck :D</a:t>
          </a:r>
          <a:endParaRPr lang="sk-SK" sz="1100" b="1" u="none"/>
        </a:p>
      </xdr:txBody>
    </xdr:sp>
    <xdr:clientData/>
  </xdr:twoCellAnchor>
  <xdr:twoCellAnchor>
    <xdr:from>
      <xdr:col>0</xdr:col>
      <xdr:colOff>937260</xdr:colOff>
      <xdr:row>41</xdr:row>
      <xdr:rowOff>101600</xdr:rowOff>
    </xdr:from>
    <xdr:to>
      <xdr:col>10</xdr:col>
      <xdr:colOff>0</xdr:colOff>
      <xdr:row>43</xdr:row>
      <xdr:rowOff>7619</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937260" y="7531100"/>
          <a:ext cx="9222740" cy="261619"/>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2.) Fill in</a:t>
          </a:r>
          <a:r>
            <a:rPr lang="en-US" sz="1100" b="0" u="none" baseline="0"/>
            <a:t> the [</a:t>
          </a:r>
          <a:r>
            <a:rPr lang="en-US" sz="1100" b="1" u="none" baseline="0"/>
            <a:t>Type</a:t>
          </a:r>
          <a:r>
            <a:rPr lang="en-US" sz="1100" b="0" u="none" baseline="0"/>
            <a:t>]. Choose if you "</a:t>
          </a:r>
          <a:r>
            <a:rPr lang="en-US" sz="1100" b="1" u="none" baseline="0"/>
            <a:t>deposit</a:t>
          </a:r>
          <a:r>
            <a:rPr lang="en-US" sz="1100" b="0" u="none" baseline="0"/>
            <a:t>" or "</a:t>
          </a:r>
          <a:r>
            <a:rPr lang="en-US" sz="1100" b="1" u="none" baseline="0"/>
            <a:t>withdrawl</a:t>
          </a:r>
          <a:r>
            <a:rPr lang="en-US" sz="1100" b="0" u="none" baseline="0"/>
            <a:t>". If you make a typo then it will be an error and you can try again or select from the list.</a:t>
          </a:r>
          <a:endParaRPr lang="sk-SK" sz="1100" b="0" u="none"/>
        </a:p>
      </xdr:txBody>
    </xdr:sp>
    <xdr:clientData/>
  </xdr:twoCellAnchor>
  <xdr:twoCellAnchor>
    <xdr:from>
      <xdr:col>1</xdr:col>
      <xdr:colOff>0</xdr:colOff>
      <xdr:row>61</xdr:row>
      <xdr:rowOff>0</xdr:rowOff>
    </xdr:from>
    <xdr:to>
      <xdr:col>10</xdr:col>
      <xdr:colOff>17962</xdr:colOff>
      <xdr:row>62</xdr:row>
      <xdr:rowOff>9525</xdr:rowOff>
    </xdr:to>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11445240" y="12306300"/>
          <a:ext cx="8392342" cy="200025"/>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5.) Fill</a:t>
          </a:r>
          <a:r>
            <a:rPr lang="en-US" sz="1100" b="0" u="none" baseline="0"/>
            <a:t> in</a:t>
          </a:r>
          <a:r>
            <a:rPr lang="en-US" sz="1100" b="0" u="none"/>
            <a:t> the [</a:t>
          </a:r>
          <a:r>
            <a:rPr lang="en-US" sz="1100" b="1" u="none"/>
            <a:t>Fee</a:t>
          </a:r>
          <a:r>
            <a:rPr lang="en-US" sz="1100" b="0" u="none"/>
            <a:t>]. Type in the </a:t>
          </a:r>
          <a:r>
            <a:rPr lang="en-US" sz="1100" b="1" u="none"/>
            <a:t>value</a:t>
          </a:r>
          <a:r>
            <a:rPr lang="en-US" sz="1100" b="0" u="none"/>
            <a:t> of the fee of the transaction. If there was </a:t>
          </a:r>
          <a:r>
            <a:rPr lang="en-US" sz="1100" b="1" u="none"/>
            <a:t>no</a:t>
          </a:r>
          <a:r>
            <a:rPr lang="en-US" sz="1100" b="0" u="none"/>
            <a:t> fee then write in the row </a:t>
          </a:r>
          <a:r>
            <a:rPr lang="en-US" sz="1100" b="1" u="none"/>
            <a:t>0</a:t>
          </a:r>
          <a:r>
            <a:rPr lang="en-US" sz="1100" b="0" u="none"/>
            <a:t>. Fee is always a </a:t>
          </a:r>
          <a:r>
            <a:rPr lang="en-US" sz="1100" b="1" u="none"/>
            <a:t>POSITIVE</a:t>
          </a:r>
          <a:r>
            <a:rPr lang="en-US" sz="1100" b="0" u="none"/>
            <a:t> value.</a:t>
          </a:r>
        </a:p>
      </xdr:txBody>
    </xdr:sp>
    <xdr:clientData/>
  </xdr:twoCellAnchor>
  <xdr:twoCellAnchor>
    <xdr:from>
      <xdr:col>1</xdr:col>
      <xdr:colOff>11642</xdr:colOff>
      <xdr:row>72</xdr:row>
      <xdr:rowOff>11642</xdr:rowOff>
    </xdr:from>
    <xdr:to>
      <xdr:col>10</xdr:col>
      <xdr:colOff>9525</xdr:colOff>
      <xdr:row>72</xdr:row>
      <xdr:rowOff>180975</xdr:rowOff>
    </xdr:to>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11456882" y="14413442"/>
          <a:ext cx="8372263" cy="169333"/>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6.) The</a:t>
          </a:r>
          <a:r>
            <a:rPr lang="en-US" sz="1100" b="0" u="none" baseline="0"/>
            <a:t> [</a:t>
          </a:r>
          <a:r>
            <a:rPr lang="en-US" sz="1100" b="1" u="none" baseline="0"/>
            <a:t>Value2</a:t>
          </a:r>
          <a:r>
            <a:rPr lang="en-US" sz="1100" b="0" u="none" baseline="0"/>
            <a:t>] is </a:t>
          </a:r>
          <a:r>
            <a:rPr lang="en-US" sz="1100" b="1" u="none" baseline="0"/>
            <a:t>AUTOFILLED</a:t>
          </a:r>
          <a:r>
            <a:rPr lang="en-US" sz="1100" b="0" u="none" baseline="0"/>
            <a:t>. Its the [Value] - [Fee] values.</a:t>
          </a:r>
          <a:endParaRPr lang="sk-SK" sz="1100" b="0" u="none"/>
        </a:p>
      </xdr:txBody>
    </xdr:sp>
    <xdr:clientData/>
  </xdr:twoCellAnchor>
  <xdr:twoCellAnchor>
    <xdr:from>
      <xdr:col>1</xdr:col>
      <xdr:colOff>25400</xdr:colOff>
      <xdr:row>77</xdr:row>
      <xdr:rowOff>5079</xdr:rowOff>
    </xdr:from>
    <xdr:to>
      <xdr:col>10</xdr:col>
      <xdr:colOff>0</xdr:colOff>
      <xdr:row>78</xdr:row>
      <xdr:rowOff>25400</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041400" y="13835379"/>
          <a:ext cx="9118600" cy="198121"/>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a:solidFill>
                <a:schemeClr val="dk1"/>
              </a:solidFill>
              <a:effectLst/>
              <a:latin typeface="+mn-lt"/>
              <a:ea typeface="+mn-ea"/>
              <a:cs typeface="+mn-cs"/>
            </a:rPr>
            <a:t>7.)</a:t>
          </a:r>
          <a:r>
            <a:rPr lang="en-US" sz="1100" b="0" baseline="0">
              <a:solidFill>
                <a:schemeClr val="dk1"/>
              </a:solidFill>
              <a:effectLst/>
              <a:latin typeface="+mn-lt"/>
              <a:ea typeface="+mn-ea"/>
              <a:cs typeface="+mn-cs"/>
            </a:rPr>
            <a:t> The [</a:t>
          </a:r>
          <a:r>
            <a:rPr lang="en-US" sz="1100" b="1" baseline="0">
              <a:solidFill>
                <a:schemeClr val="dk1"/>
              </a:solidFill>
              <a:effectLst/>
              <a:latin typeface="+mn-lt"/>
              <a:ea typeface="+mn-ea"/>
              <a:cs typeface="+mn-cs"/>
            </a:rPr>
            <a:t>Quantity</a:t>
          </a:r>
          <a:r>
            <a:rPr lang="en-US" sz="1100" b="0" baseline="0">
              <a:solidFill>
                <a:schemeClr val="dk1"/>
              </a:solidFill>
              <a:effectLst/>
              <a:latin typeface="+mn-lt"/>
              <a:ea typeface="+mn-ea"/>
              <a:cs typeface="+mn-cs"/>
            </a:rPr>
            <a:t>] is </a:t>
          </a:r>
          <a:r>
            <a:rPr lang="en-US" sz="1100" b="1" baseline="0">
              <a:solidFill>
                <a:schemeClr val="dk1"/>
              </a:solidFill>
              <a:effectLst/>
              <a:latin typeface="+mn-lt"/>
              <a:ea typeface="+mn-ea"/>
              <a:cs typeface="+mn-cs"/>
            </a:rPr>
            <a:t>AUTOFILLED</a:t>
          </a:r>
          <a:r>
            <a:rPr lang="en-US" sz="1100" b="0" baseline="0">
              <a:solidFill>
                <a:schemeClr val="dk1"/>
              </a:solidFill>
              <a:effectLst/>
              <a:latin typeface="+mn-lt"/>
              <a:ea typeface="+mn-ea"/>
              <a:cs typeface="+mn-cs"/>
            </a:rPr>
            <a:t>. Its the </a:t>
          </a:r>
          <a:r>
            <a:rPr lang="en-US" sz="1100" b="1" baseline="0">
              <a:solidFill>
                <a:schemeClr val="dk1"/>
              </a:solidFill>
              <a:effectLst/>
              <a:latin typeface="+mn-lt"/>
              <a:ea typeface="+mn-ea"/>
              <a:cs typeface="+mn-cs"/>
            </a:rPr>
            <a:t>number</a:t>
          </a:r>
          <a:r>
            <a:rPr lang="en-US" sz="1100" b="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of coins</a:t>
          </a:r>
          <a:r>
            <a:rPr lang="en-US" sz="1100" b="0" baseline="0">
              <a:solidFill>
                <a:schemeClr val="dk1"/>
              </a:solidFill>
              <a:effectLst/>
              <a:latin typeface="+mn-lt"/>
              <a:ea typeface="+mn-ea"/>
              <a:cs typeface="+mn-cs"/>
            </a:rPr>
            <a:t> of asset you spent and recieved.  First type in the [</a:t>
          </a:r>
          <a:r>
            <a:rPr lang="en-US" sz="1100" b="1" baseline="0">
              <a:solidFill>
                <a:schemeClr val="dk1"/>
              </a:solidFill>
              <a:effectLst/>
              <a:latin typeface="+mn-lt"/>
              <a:ea typeface="+mn-ea"/>
              <a:cs typeface="+mn-cs"/>
            </a:rPr>
            <a:t>Coin value</a:t>
          </a:r>
          <a:r>
            <a:rPr lang="en-US" sz="1100" b="0" baseline="0">
              <a:solidFill>
                <a:schemeClr val="dk1"/>
              </a:solidFill>
              <a:effectLst/>
              <a:latin typeface="+mn-lt"/>
              <a:ea typeface="+mn-ea"/>
              <a:cs typeface="+mn-cs"/>
            </a:rPr>
            <a:t>]</a:t>
          </a:r>
          <a:endParaRPr lang="sk-SK">
            <a:effectLst/>
          </a:endParaRPr>
        </a:p>
      </xdr:txBody>
    </xdr:sp>
    <xdr:clientData/>
  </xdr:twoCellAnchor>
  <xdr:twoCellAnchor>
    <xdr:from>
      <xdr:col>1</xdr:col>
      <xdr:colOff>0</xdr:colOff>
      <xdr:row>81</xdr:row>
      <xdr:rowOff>152400</xdr:rowOff>
    </xdr:from>
    <xdr:to>
      <xdr:col>10</xdr:col>
      <xdr:colOff>12700</xdr:colOff>
      <xdr:row>83</xdr:row>
      <xdr:rowOff>12700</xdr:rowOff>
    </xdr:to>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1016000" y="14693900"/>
          <a:ext cx="9156700" cy="21590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a:t>8.)</a:t>
          </a:r>
          <a:r>
            <a:rPr lang="en-US" sz="1100" b="0" u="none" baseline="0"/>
            <a:t> Fill in the [</a:t>
          </a:r>
          <a:r>
            <a:rPr lang="en-US" sz="1100" b="1" u="none" baseline="0"/>
            <a:t>Coin value</a:t>
          </a:r>
          <a:r>
            <a:rPr lang="en-US" sz="1100" b="0" u="none" baseline="0"/>
            <a:t>]. Its the value of the coin in the </a:t>
          </a:r>
          <a:r>
            <a:rPr lang="en-US" sz="1100" b="1" u="none" baseline="0"/>
            <a:t>time of purchase</a:t>
          </a:r>
          <a:r>
            <a:rPr lang="en-US" sz="1100" b="0" u="none" baseline="0"/>
            <a:t>. "</a:t>
          </a:r>
          <a:r>
            <a:rPr lang="en-US" sz="1100" b="1" u="none" baseline="0"/>
            <a:t>EUR</a:t>
          </a:r>
          <a:r>
            <a:rPr lang="en-US" sz="1100" b="0" u="none" baseline="0"/>
            <a:t>" coin value is always 1.</a:t>
          </a:r>
          <a:endParaRPr lang="sk-SK" sz="1100" b="0" u="none"/>
        </a:p>
      </xdr:txBody>
    </xdr:sp>
    <xdr:clientData/>
  </xdr:twoCellAnchor>
  <xdr:twoCellAnchor>
    <xdr:from>
      <xdr:col>0</xdr:col>
      <xdr:colOff>937260</xdr:colOff>
      <xdr:row>94</xdr:row>
      <xdr:rowOff>1</xdr:rowOff>
    </xdr:from>
    <xdr:to>
      <xdr:col>10</xdr:col>
      <xdr:colOff>1269</xdr:colOff>
      <xdr:row>94</xdr:row>
      <xdr:rowOff>160021</xdr:rowOff>
    </xdr:to>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11437620" y="18592801"/>
          <a:ext cx="8383269" cy="16002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none"/>
            <a:t>Hope everything is clear.</a:t>
          </a:r>
          <a:r>
            <a:rPr lang="en-US" sz="1100" b="1" u="none" baseline="0"/>
            <a:t> Continue to the B) side of the user guide. --&gt;</a:t>
          </a:r>
          <a:endParaRPr lang="sk-SK" sz="1100" b="1" u="none"/>
        </a:p>
      </xdr:txBody>
    </xdr:sp>
    <xdr:clientData/>
  </xdr:twoCellAnchor>
  <xdr:twoCellAnchor>
    <xdr:from>
      <xdr:col>24</xdr:col>
      <xdr:colOff>22861</xdr:colOff>
      <xdr:row>7</xdr:row>
      <xdr:rowOff>48984</xdr:rowOff>
    </xdr:from>
    <xdr:to>
      <xdr:col>33</xdr:col>
      <xdr:colOff>22860</xdr:colOff>
      <xdr:row>12</xdr:row>
      <xdr:rowOff>0</xdr:rowOff>
    </xdr:to>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24581032" y="1355270"/>
          <a:ext cx="9209314" cy="887187"/>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t>Open form with this button --&gt;</a:t>
          </a:r>
          <a:endParaRPr lang="en-US" sz="1100" b="1" baseline="0"/>
        </a:p>
        <a:p>
          <a:endParaRPr lang="sk-SK" sz="1100" b="1" u="sng"/>
        </a:p>
      </xdr:txBody>
    </xdr:sp>
    <xdr:clientData/>
  </xdr:twoCellAnchor>
  <xdr:twoCellAnchor>
    <xdr:from>
      <xdr:col>23</xdr:col>
      <xdr:colOff>1002573</xdr:colOff>
      <xdr:row>1</xdr:row>
      <xdr:rowOff>152400</xdr:rowOff>
    </xdr:from>
    <xdr:to>
      <xdr:col>33</xdr:col>
      <xdr:colOff>21770</xdr:colOff>
      <xdr:row>5</xdr:row>
      <xdr:rowOff>152401</xdr:rowOff>
    </xdr:to>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24537487" y="348343"/>
          <a:ext cx="9251769" cy="740229"/>
        </a:xfrm>
        <a:prstGeom prst="rect">
          <a:avLst/>
        </a:prstGeom>
        <a:solidFill>
          <a:schemeClr val="accent5">
            <a:lumMod val="20000"/>
            <a:lumOff val="80000"/>
          </a:schemeClr>
        </a:solidFill>
        <a:ln w="28575"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ysClr val="windowText" lastClr="000000"/>
              </a:solidFill>
            </a:rPr>
            <a:t>EXACT SAME THING,</a:t>
          </a:r>
          <a:r>
            <a:rPr lang="en-US" sz="2000" b="1" baseline="0">
              <a:solidFill>
                <a:sysClr val="windowText" lastClr="000000"/>
              </a:solidFill>
            </a:rPr>
            <a:t> JUST WITH THE FORM</a:t>
          </a:r>
          <a:endParaRPr lang="en-US" sz="1800" b="1" baseline="0">
            <a:solidFill>
              <a:sysClr val="windowText" lastClr="000000"/>
            </a:solidFill>
          </a:endParaRPr>
        </a:p>
        <a:p>
          <a:pPr algn="ctr"/>
          <a:r>
            <a:rPr lang="en-US" sz="1800" b="1">
              <a:solidFill>
                <a:sysClr val="windowText" lastClr="000000"/>
              </a:solidFill>
            </a:rPr>
            <a:t>Preferred method for purchase input</a:t>
          </a:r>
          <a:endParaRPr lang="sk-SK" sz="1800" b="1">
            <a:solidFill>
              <a:sysClr val="windowText" lastClr="000000"/>
            </a:solidFill>
          </a:endParaRPr>
        </a:p>
      </xdr:txBody>
    </xdr:sp>
    <xdr:clientData/>
  </xdr:twoCellAnchor>
  <xdr:twoCellAnchor editAs="oneCell">
    <xdr:from>
      <xdr:col>25</xdr:col>
      <xdr:colOff>1001485</xdr:colOff>
      <xdr:row>7</xdr:row>
      <xdr:rowOff>130630</xdr:rowOff>
    </xdr:from>
    <xdr:to>
      <xdr:col>28</xdr:col>
      <xdr:colOff>286498</xdr:colOff>
      <xdr:row>11</xdr:row>
      <xdr:rowOff>27272</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1"/>
        <a:stretch>
          <a:fillRect/>
        </a:stretch>
      </xdr:blipFill>
      <xdr:spPr>
        <a:xfrm>
          <a:off x="26582914" y="1436916"/>
          <a:ext cx="2354784" cy="647756"/>
        </a:xfrm>
        <a:prstGeom prst="rect">
          <a:avLst/>
        </a:prstGeom>
      </xdr:spPr>
    </xdr:pic>
    <xdr:clientData/>
  </xdr:twoCellAnchor>
  <xdr:twoCellAnchor>
    <xdr:from>
      <xdr:col>23</xdr:col>
      <xdr:colOff>1013461</xdr:colOff>
      <xdr:row>12</xdr:row>
      <xdr:rowOff>125186</xdr:rowOff>
    </xdr:from>
    <xdr:to>
      <xdr:col>33</xdr:col>
      <xdr:colOff>21771</xdr:colOff>
      <xdr:row>14</xdr:row>
      <xdr:rowOff>0</xdr:rowOff>
    </xdr:to>
    <xdr:sp macro="" textlink="">
      <xdr:nvSpPr>
        <xdr:cNvPr id="39" name="TextBox 38">
          <a:extLst>
            <a:ext uri="{FF2B5EF4-FFF2-40B4-BE49-F238E27FC236}">
              <a16:creationId xmlns:a16="http://schemas.microsoft.com/office/drawing/2014/main" id="{00000000-0008-0000-0100-000027000000}"/>
            </a:ext>
          </a:extLst>
        </xdr:cNvPr>
        <xdr:cNvSpPr txBox="1"/>
      </xdr:nvSpPr>
      <xdr:spPr>
        <a:xfrm>
          <a:off x="24548375" y="2367643"/>
          <a:ext cx="9240882" cy="244928"/>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t>Same rules apply, just easier to manage. </a:t>
          </a:r>
          <a:r>
            <a:rPr lang="en-US" sz="1100" b="0"/>
            <a:t>Type</a:t>
          </a:r>
          <a:r>
            <a:rPr lang="en-US" sz="1100" b="0" baseline="0"/>
            <a:t> in the values. Click on the "Add" button</a:t>
          </a:r>
          <a:endParaRPr lang="en-US" sz="1100" b="1" baseline="0"/>
        </a:p>
        <a:p>
          <a:endParaRPr lang="sk-SK" sz="1100" b="1" u="sng"/>
        </a:p>
      </xdr:txBody>
    </xdr:sp>
    <xdr:clientData/>
  </xdr:twoCellAnchor>
  <xdr:twoCellAnchor editAs="oneCell">
    <xdr:from>
      <xdr:col>24</xdr:col>
      <xdr:colOff>10887</xdr:colOff>
      <xdr:row>50</xdr:row>
      <xdr:rowOff>65316</xdr:rowOff>
    </xdr:from>
    <xdr:to>
      <xdr:col>33</xdr:col>
      <xdr:colOff>195943</xdr:colOff>
      <xdr:row>79</xdr:row>
      <xdr:rowOff>32436</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2"/>
        <a:stretch>
          <a:fillRect/>
        </a:stretch>
      </xdr:blipFill>
      <xdr:spPr>
        <a:xfrm>
          <a:off x="24569058" y="9383487"/>
          <a:ext cx="9394371" cy="5333778"/>
        </a:xfrm>
        <a:prstGeom prst="rect">
          <a:avLst/>
        </a:prstGeom>
      </xdr:spPr>
    </xdr:pic>
    <xdr:clientData/>
  </xdr:twoCellAnchor>
  <xdr:twoCellAnchor>
    <xdr:from>
      <xdr:col>23</xdr:col>
      <xdr:colOff>969918</xdr:colOff>
      <xdr:row>44</xdr:row>
      <xdr:rowOff>134710</xdr:rowOff>
    </xdr:from>
    <xdr:to>
      <xdr:col>33</xdr:col>
      <xdr:colOff>141514</xdr:colOff>
      <xdr:row>48</xdr:row>
      <xdr:rowOff>163286</xdr:rowOff>
    </xdr:to>
    <xdr:sp macro="" textlink="">
      <xdr:nvSpPr>
        <xdr:cNvPr id="43" name="TextBox 42">
          <a:extLst>
            <a:ext uri="{FF2B5EF4-FFF2-40B4-BE49-F238E27FC236}">
              <a16:creationId xmlns:a16="http://schemas.microsoft.com/office/drawing/2014/main" id="{00000000-0008-0000-0100-00002B000000}"/>
            </a:ext>
          </a:extLst>
        </xdr:cNvPr>
        <xdr:cNvSpPr txBox="1"/>
      </xdr:nvSpPr>
      <xdr:spPr>
        <a:xfrm>
          <a:off x="24504832" y="8342539"/>
          <a:ext cx="9404168" cy="76880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u="none" baseline="0"/>
            <a:t>The"</a:t>
          </a:r>
          <a:r>
            <a:rPr lang="en-US" sz="1100" b="1" u="none" baseline="0"/>
            <a:t>Add</a:t>
          </a:r>
          <a:r>
            <a:rPr lang="en-US" sz="1100" b="0" u="none" baseline="0"/>
            <a:t>" button creates a </a:t>
          </a:r>
          <a:r>
            <a:rPr lang="en-US" sz="1100" b="1" u="none" baseline="0"/>
            <a:t>new</a:t>
          </a:r>
          <a:r>
            <a:rPr lang="en-US" sz="1100" b="0" u="none" baseline="0"/>
            <a:t> row with your inputs.</a:t>
          </a:r>
        </a:p>
        <a:p>
          <a:pPr algn="l"/>
          <a:r>
            <a:rPr lang="en-US" sz="1100" b="0" u="none" baseline="0"/>
            <a:t>If you want to "</a:t>
          </a:r>
          <a:r>
            <a:rPr lang="en-US" sz="1100" b="1" u="none" baseline="0"/>
            <a:t>Delete</a:t>
          </a:r>
          <a:r>
            <a:rPr lang="en-US" sz="1100" b="0" u="none" baseline="0"/>
            <a:t>" or "</a:t>
          </a:r>
          <a:r>
            <a:rPr lang="en-US" sz="1100" b="1" u="none" baseline="0"/>
            <a:t>Update</a:t>
          </a:r>
          <a:r>
            <a:rPr lang="en-US" sz="1100" b="0" u="none" baseline="0"/>
            <a:t>" the row, you need to </a:t>
          </a:r>
          <a:r>
            <a:rPr lang="en-US" sz="1100" b="1" u="none" baseline="0"/>
            <a:t>double</a:t>
          </a:r>
          <a:r>
            <a:rPr lang="en-US" sz="1100" b="0" u="none" baseline="0"/>
            <a:t> </a:t>
          </a:r>
          <a:r>
            <a:rPr lang="en-US" sz="1100" b="1" u="none" baseline="0"/>
            <a:t>click</a:t>
          </a:r>
          <a:r>
            <a:rPr lang="en-US" sz="1100" b="0" u="none" baseline="0"/>
            <a:t> it first.</a:t>
          </a:r>
        </a:p>
        <a:p>
          <a:pPr algn="l"/>
          <a:r>
            <a:rPr lang="en-US" sz="1100" b="0" u="none" baseline="0"/>
            <a:t>"</a:t>
          </a:r>
          <a:r>
            <a:rPr lang="en-US" sz="1100" b="1" u="none" baseline="0"/>
            <a:t>Clear</a:t>
          </a:r>
          <a:r>
            <a:rPr lang="en-US" sz="1100" b="0" u="none" baseline="0"/>
            <a:t>" button clears the input.</a:t>
          </a:r>
        </a:p>
        <a:p>
          <a:pPr algn="l"/>
          <a:r>
            <a:rPr lang="en-US" sz="1100" b="0" u="none" baseline="0"/>
            <a:t>"</a:t>
          </a:r>
          <a:r>
            <a:rPr lang="en-US" sz="1100" b="1" u="none" baseline="0"/>
            <a:t>Save and refresh</a:t>
          </a:r>
          <a:r>
            <a:rPr lang="en-US" sz="1100" b="0" u="none" baseline="0"/>
            <a:t>" saves and refreshes the workbook.</a:t>
          </a:r>
          <a:endParaRPr lang="sk-SK" sz="1100" b="0" u="none"/>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1935480</xdr:colOff>
          <xdr:row>0</xdr:row>
          <xdr:rowOff>0</xdr:rowOff>
        </xdr:from>
        <xdr:to>
          <xdr:col>4</xdr:col>
          <xdr:colOff>1584960</xdr:colOff>
          <xdr:row>1</xdr:row>
          <xdr:rowOff>289560</xdr:rowOff>
        </xdr:to>
        <xdr:sp macro="" textlink="">
          <xdr:nvSpPr>
            <xdr:cNvPr id="4103" name="Refresh1"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1127760</xdr:colOff>
          <xdr:row>0</xdr:row>
          <xdr:rowOff>0</xdr:rowOff>
        </xdr:from>
        <xdr:to>
          <xdr:col>2</xdr:col>
          <xdr:colOff>480060</xdr:colOff>
          <xdr:row>1</xdr:row>
          <xdr:rowOff>289560</xdr:rowOff>
        </xdr:to>
        <xdr:sp macro="" textlink="">
          <xdr:nvSpPr>
            <xdr:cNvPr id="4104" name="Purchases1"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982980</xdr:colOff>
          <xdr:row>1</xdr:row>
          <xdr:rowOff>289560</xdr:rowOff>
        </xdr:to>
        <xdr:sp macro="" textlink="">
          <xdr:nvSpPr>
            <xdr:cNvPr id="4105" name="PortfolioPro1"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65314</xdr:colOff>
      <xdr:row>2</xdr:row>
      <xdr:rowOff>163287</xdr:rowOff>
    </xdr:from>
    <xdr:to>
      <xdr:col>11</xdr:col>
      <xdr:colOff>482599</xdr:colOff>
      <xdr:row>19</xdr:row>
      <xdr:rowOff>37011</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88900</xdr:colOff>
      <xdr:row>20</xdr:row>
      <xdr:rowOff>38100</xdr:rowOff>
    </xdr:from>
    <xdr:to>
      <xdr:col>11</xdr:col>
      <xdr:colOff>495300</xdr:colOff>
      <xdr:row>40</xdr:row>
      <xdr:rowOff>23585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1729740</xdr:colOff>
          <xdr:row>0</xdr:row>
          <xdr:rowOff>0</xdr:rowOff>
        </xdr:from>
        <xdr:to>
          <xdr:col>6</xdr:col>
          <xdr:colOff>1188720</xdr:colOff>
          <xdr:row>1</xdr:row>
          <xdr:rowOff>289560</xdr:rowOff>
        </xdr:to>
        <xdr:sp macro="" textlink="">
          <xdr:nvSpPr>
            <xdr:cNvPr id="4110" name="CommandButton3" hidden="1">
              <a:extLst>
                <a:ext uri="{63B3BB69-23CF-44E3-9099-C40C66FF867C}">
                  <a14:compatExt spid="_x0000_s4110"/>
                </a:ext>
                <a:ext uri="{FF2B5EF4-FFF2-40B4-BE49-F238E27FC236}">
                  <a16:creationId xmlns:a16="http://schemas.microsoft.com/office/drawing/2014/main" id="{00000000-0008-0000-02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617220</xdr:colOff>
          <xdr:row>0</xdr:row>
          <xdr:rowOff>0</xdr:rowOff>
        </xdr:from>
        <xdr:to>
          <xdr:col>3</xdr:col>
          <xdr:colOff>1790700</xdr:colOff>
          <xdr:row>1</xdr:row>
          <xdr:rowOff>289560</xdr:rowOff>
        </xdr:to>
        <xdr:sp macro="" textlink="">
          <xdr:nvSpPr>
            <xdr:cNvPr id="4111" name="CommandButton2" hidden="1">
              <a:extLst>
                <a:ext uri="{63B3BB69-23CF-44E3-9099-C40C66FF867C}">
                  <a14:compatExt spid="_x0000_s4111"/>
                </a:ext>
                <a:ext uri="{FF2B5EF4-FFF2-40B4-BE49-F238E27FC236}">
                  <a16:creationId xmlns:a16="http://schemas.microsoft.com/office/drawing/2014/main" id="{00000000-0008-0000-02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xdr:col>
      <xdr:colOff>991043</xdr:colOff>
      <xdr:row>11</xdr:row>
      <xdr:rowOff>32441</xdr:rowOff>
    </xdr:from>
    <xdr:to>
      <xdr:col>11</xdr:col>
      <xdr:colOff>1346143</xdr:colOff>
      <xdr:row>34</xdr:row>
      <xdr:rowOff>29932</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3830743" y="2783261"/>
              <a:ext cx="5285240" cy="4348511"/>
            </a:xfrm>
            <a:prstGeom prst="rect">
              <a:avLst/>
            </a:prstGeom>
            <a:solidFill>
              <a:prstClr val="white"/>
            </a:solidFill>
            <a:ln w="1">
              <a:solidFill>
                <a:prstClr val="green"/>
              </a:solidFill>
            </a:ln>
          </xdr:spPr>
          <xdr:txBody>
            <a:bodyPr vertOverflow="clip" horzOverflow="clip"/>
            <a:lstStyle/>
            <a:p>
              <a:r>
                <a:rPr lang="sk-SK"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10</xdr:row>
      <xdr:rowOff>232755</xdr:rowOff>
    </xdr:from>
    <xdr:to>
      <xdr:col>4</xdr:col>
      <xdr:colOff>24129</xdr:colOff>
      <xdr:row>33</xdr:row>
      <xdr:rowOff>174828</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0</xdr:colOff>
          <xdr:row>0</xdr:row>
          <xdr:rowOff>0</xdr:rowOff>
        </xdr:from>
        <xdr:to>
          <xdr:col>6</xdr:col>
          <xdr:colOff>304800</xdr:colOff>
          <xdr:row>2</xdr:row>
          <xdr:rowOff>99060</xdr:rowOff>
        </xdr:to>
        <xdr:sp macro="" textlink="">
          <xdr:nvSpPr>
            <xdr:cNvPr id="2050" name="Refresh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982980</xdr:colOff>
          <xdr:row>0</xdr:row>
          <xdr:rowOff>0</xdr:rowOff>
        </xdr:from>
        <xdr:to>
          <xdr:col>3</xdr:col>
          <xdr:colOff>76200</xdr:colOff>
          <xdr:row>2</xdr:row>
          <xdr:rowOff>91440</xdr:rowOff>
        </xdr:to>
        <xdr:sp macro="" textlink="">
          <xdr:nvSpPr>
            <xdr:cNvPr id="2051" name="Purchases2"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845820</xdr:colOff>
          <xdr:row>2</xdr:row>
          <xdr:rowOff>91440</xdr:rowOff>
        </xdr:to>
        <xdr:sp macro="" textlink="">
          <xdr:nvSpPr>
            <xdr:cNvPr id="2052" name="PortfolioLite2"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36</xdr:row>
      <xdr:rowOff>134802</xdr:rowOff>
    </xdr:from>
    <xdr:to>
      <xdr:col>3</xdr:col>
      <xdr:colOff>1105641</xdr:colOff>
      <xdr:row>39</xdr:row>
      <xdr:rowOff>11250</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0" y="9246376"/>
          <a:ext cx="4380620" cy="460108"/>
        </a:xfrm>
        <a:prstGeom prst="rect">
          <a:avLst/>
        </a:prstGeom>
        <a:solidFill>
          <a:schemeClr val="accent5">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bg1"/>
              </a:solidFill>
            </a:rPr>
            <a:t>ADVANCED PERSONAL CRYPTO INFO</a:t>
          </a:r>
          <a:endParaRPr lang="sk-SK" sz="2000" b="1">
            <a:solidFill>
              <a:schemeClr val="bg1"/>
            </a:solidFill>
          </a:endParaRPr>
        </a:p>
      </xdr:txBody>
    </xdr:sp>
    <xdr:clientData/>
  </xdr:twoCellAnchor>
  <xdr:twoCellAnchor>
    <xdr:from>
      <xdr:col>11</xdr:col>
      <xdr:colOff>1402390</xdr:colOff>
      <xdr:row>11</xdr:row>
      <xdr:rowOff>27296</xdr:rowOff>
    </xdr:from>
    <xdr:to>
      <xdr:col>14</xdr:col>
      <xdr:colOff>1088934</xdr:colOff>
      <xdr:row>34</xdr:row>
      <xdr:rowOff>24787</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9172230" y="2778116"/>
              <a:ext cx="5470124" cy="4348511"/>
            </a:xfrm>
            <a:prstGeom prst="rect">
              <a:avLst/>
            </a:prstGeom>
            <a:solidFill>
              <a:prstClr val="white"/>
            </a:solidFill>
            <a:ln w="1">
              <a:solidFill>
                <a:prstClr val="green"/>
              </a:solidFill>
            </a:ln>
          </xdr:spPr>
          <xdr:txBody>
            <a:bodyPr vertOverflow="clip" horzOverflow="clip"/>
            <a:lstStyle/>
            <a:p>
              <a:r>
                <a:rPr lang="sk-SK"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95251</xdr:colOff>
      <xdr:row>4</xdr:row>
      <xdr:rowOff>316333</xdr:rowOff>
    </xdr:from>
    <xdr:to>
      <xdr:col>17</xdr:col>
      <xdr:colOff>1238250</xdr:colOff>
      <xdr:row>31</xdr:row>
      <xdr:rowOff>133350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6056591" y="1367893"/>
              <a:ext cx="4190999" cy="5173877"/>
            </a:xfrm>
            <a:prstGeom prst="rect">
              <a:avLst/>
            </a:prstGeom>
            <a:solidFill>
              <a:prstClr val="white"/>
            </a:solidFill>
            <a:ln w="1">
              <a:solidFill>
                <a:prstClr val="green"/>
              </a:solidFill>
            </a:ln>
          </xdr:spPr>
          <xdr:txBody>
            <a:bodyPr vertOverflow="clip" horzOverflow="clip"/>
            <a:lstStyle/>
            <a:p>
              <a:r>
                <a:rPr lang="sk-SK"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271642</xdr:colOff>
      <xdr:row>38</xdr:row>
      <xdr:rowOff>176414</xdr:rowOff>
    </xdr:from>
    <xdr:to>
      <xdr:col>15</xdr:col>
      <xdr:colOff>124985</xdr:colOff>
      <xdr:row>56</xdr:row>
      <xdr:rowOff>71812</xdr:rowOff>
    </xdr:to>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328676</xdr:colOff>
      <xdr:row>39</xdr:row>
      <xdr:rowOff>1386</xdr:rowOff>
    </xdr:from>
    <xdr:to>
      <xdr:col>11</xdr:col>
      <xdr:colOff>148774</xdr:colOff>
      <xdr:row>56</xdr:row>
      <xdr:rowOff>69272</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1514593</xdr:colOff>
      <xdr:row>39</xdr:row>
      <xdr:rowOff>150334</xdr:rowOff>
    </xdr:from>
    <xdr:to>
      <xdr:col>24</xdr:col>
      <xdr:colOff>285</xdr:colOff>
      <xdr:row>55</xdr:row>
      <xdr:rowOff>81061</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3</xdr:row>
      <xdr:rowOff>55418</xdr:rowOff>
    </xdr:from>
    <xdr:to>
      <xdr:col>3</xdr:col>
      <xdr:colOff>1105641</xdr:colOff>
      <xdr:row>5</xdr:row>
      <xdr:rowOff>38100</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0" y="855518"/>
          <a:ext cx="4801341" cy="535132"/>
        </a:xfrm>
        <a:prstGeom prst="rect">
          <a:avLst/>
        </a:prstGeom>
        <a:solidFill>
          <a:schemeClr val="accent5">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bg1"/>
              </a:solidFill>
            </a:rPr>
            <a:t>BASIC</a:t>
          </a:r>
          <a:r>
            <a:rPr lang="en-US" sz="2000" b="1" baseline="0">
              <a:solidFill>
                <a:schemeClr val="bg1"/>
              </a:solidFill>
            </a:rPr>
            <a:t> + GLOBAL</a:t>
          </a:r>
          <a:r>
            <a:rPr lang="en-US" sz="2000" b="1">
              <a:solidFill>
                <a:schemeClr val="bg1"/>
              </a:solidFill>
            </a:rPr>
            <a:t> CRYPTO INFO</a:t>
          </a:r>
          <a:endParaRPr lang="sk-SK" sz="2000" b="1">
            <a:solidFill>
              <a:schemeClr val="bg1"/>
            </a:solidFill>
          </a:endParaRPr>
        </a:p>
      </xdr:txBody>
    </xdr:sp>
    <xdr:clientData/>
  </xdr:twoCellAnchor>
  <xdr:twoCellAnchor>
    <xdr:from>
      <xdr:col>4</xdr:col>
      <xdr:colOff>97277</xdr:colOff>
      <xdr:row>11</xdr:row>
      <xdr:rowOff>1</xdr:rowOff>
    </xdr:from>
    <xdr:to>
      <xdr:col>8</xdr:col>
      <xdr:colOff>934936</xdr:colOff>
      <xdr:row>34</xdr:row>
      <xdr:rowOff>0</xdr:rowOff>
    </xdr:to>
    <xdr:graphicFrame macro="">
      <xdr:nvGraphicFramePr>
        <xdr:cNvPr id="17" name="Chart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1524000</xdr:colOff>
      <xdr:row>5</xdr:row>
      <xdr:rowOff>16214</xdr:rowOff>
    </xdr:from>
    <xdr:to>
      <xdr:col>23</xdr:col>
      <xdr:colOff>1524287</xdr:colOff>
      <xdr:row>19</xdr:row>
      <xdr:rowOff>157707</xdr:rowOff>
    </xdr:to>
    <xdr:graphicFrame macro="">
      <xdr:nvGraphicFramePr>
        <xdr:cNvPr id="18" name="Chart 17">
          <a:extLst>
            <a:ext uri="{FF2B5EF4-FFF2-40B4-BE49-F238E27FC236}">
              <a16:creationId xmlns:a16="http://schemas.microsoft.com/office/drawing/2014/main" id="{00000000-0008-0000-0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1524001</xdr:colOff>
      <xdr:row>20</xdr:row>
      <xdr:rowOff>97278</xdr:rowOff>
    </xdr:from>
    <xdr:to>
      <xdr:col>24</xdr:col>
      <xdr:colOff>286</xdr:colOff>
      <xdr:row>39</xdr:row>
      <xdr:rowOff>28005</xdr:rowOff>
    </xdr:to>
    <xdr:graphicFrame macro="">
      <xdr:nvGraphicFramePr>
        <xdr:cNvPr id="19" name="Chart 18">
          <a:extLst>
            <a:ext uri="{FF2B5EF4-FFF2-40B4-BE49-F238E27FC236}">
              <a16:creationId xmlns:a16="http://schemas.microsoft.com/office/drawing/2014/main" id="{00000000-0008-0000-03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21</xdr:col>
      <xdr:colOff>32425</xdr:colOff>
      <xdr:row>3</xdr:row>
      <xdr:rowOff>63082</xdr:rowOff>
    </xdr:from>
    <xdr:to>
      <xdr:col>24</xdr:col>
      <xdr:colOff>3173</xdr:colOff>
      <xdr:row>4</xdr:row>
      <xdr:rowOff>221673</xdr:rowOff>
    </xdr:to>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34876607" y="894355"/>
          <a:ext cx="4833693" cy="394118"/>
        </a:xfrm>
        <a:prstGeom prst="rect">
          <a:avLst/>
        </a:prstGeom>
        <a:solidFill>
          <a:schemeClr val="accent5">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bg1"/>
              </a:solidFill>
            </a:rPr>
            <a:t>ASSETS</a:t>
          </a:r>
          <a:r>
            <a:rPr lang="en-US" sz="2000" b="1" baseline="0">
              <a:solidFill>
                <a:schemeClr val="bg1"/>
              </a:solidFill>
            </a:rPr>
            <a:t> PRICE HISTORY</a:t>
          </a:r>
          <a:endParaRPr lang="sk-SK" sz="2000" b="1">
            <a:solidFill>
              <a:schemeClr val="bg1"/>
            </a:solidFill>
          </a:endParaRPr>
        </a:p>
      </xdr:txBody>
    </xdr:sp>
    <xdr:clientData/>
  </xdr:twoCellAnchor>
  <xdr:twoCellAnchor>
    <xdr:from>
      <xdr:col>18</xdr:col>
      <xdr:colOff>0</xdr:colOff>
      <xdr:row>93</xdr:row>
      <xdr:rowOff>75504</xdr:rowOff>
    </xdr:from>
    <xdr:to>
      <xdr:col>24</xdr:col>
      <xdr:colOff>29231</xdr:colOff>
      <xdr:row>112</xdr:row>
      <xdr:rowOff>123462</xdr:rowOff>
    </xdr:to>
    <xdr:graphicFrame macro="">
      <xdr:nvGraphicFramePr>
        <xdr:cNvPr id="21" name="Chart 20">
          <a:extLst>
            <a:ext uri="{FF2B5EF4-FFF2-40B4-BE49-F238E27FC236}">
              <a16:creationId xmlns:a16="http://schemas.microsoft.com/office/drawing/2014/main" id="{00000000-0008-0000-0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18</xdr:col>
      <xdr:colOff>9407</xdr:colOff>
      <xdr:row>55</xdr:row>
      <xdr:rowOff>214923</xdr:rowOff>
    </xdr:from>
    <xdr:to>
      <xdr:col>24</xdr:col>
      <xdr:colOff>9695</xdr:colOff>
      <xdr:row>74</xdr:row>
      <xdr:rowOff>82877</xdr:rowOff>
    </xdr:to>
    <xdr:graphicFrame macro="">
      <xdr:nvGraphicFramePr>
        <xdr:cNvPr id="22" name="Chart 21">
          <a:extLst>
            <a:ext uri="{FF2B5EF4-FFF2-40B4-BE49-F238E27FC236}">
              <a16:creationId xmlns:a16="http://schemas.microsoft.com/office/drawing/2014/main" id="{00000000-0008-0000-03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18</xdr:col>
      <xdr:colOff>9408</xdr:colOff>
      <xdr:row>75</xdr:row>
      <xdr:rowOff>22448</xdr:rowOff>
    </xdr:from>
    <xdr:to>
      <xdr:col>24</xdr:col>
      <xdr:colOff>29232</xdr:colOff>
      <xdr:row>92</xdr:row>
      <xdr:rowOff>129021</xdr:rowOff>
    </xdr:to>
    <xdr:graphicFrame macro="">
      <xdr:nvGraphicFramePr>
        <xdr:cNvPr id="23" name="Chart 22">
          <a:extLst>
            <a:ext uri="{FF2B5EF4-FFF2-40B4-BE49-F238E27FC236}">
              <a16:creationId xmlns:a16="http://schemas.microsoft.com/office/drawing/2014/main" id="{00000000-0008-0000-03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18</xdr:col>
      <xdr:colOff>19538</xdr:colOff>
      <xdr:row>152</xdr:row>
      <xdr:rowOff>134120</xdr:rowOff>
    </xdr:from>
    <xdr:to>
      <xdr:col>24</xdr:col>
      <xdr:colOff>48769</xdr:colOff>
      <xdr:row>172</xdr:row>
      <xdr:rowOff>6232</xdr:rowOff>
    </xdr:to>
    <xdr:graphicFrame macro="">
      <xdr:nvGraphicFramePr>
        <xdr:cNvPr id="24" name="Chart 23">
          <a:extLst>
            <a:ext uri="{FF2B5EF4-FFF2-40B4-BE49-F238E27FC236}">
              <a16:creationId xmlns:a16="http://schemas.microsoft.com/office/drawing/2014/main" id="{00000000-0008-0000-03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18</xdr:col>
      <xdr:colOff>28945</xdr:colOff>
      <xdr:row>113</xdr:row>
      <xdr:rowOff>58616</xdr:rowOff>
    </xdr:from>
    <xdr:to>
      <xdr:col>24</xdr:col>
      <xdr:colOff>29233</xdr:colOff>
      <xdr:row>132</xdr:row>
      <xdr:rowOff>141493</xdr:rowOff>
    </xdr:to>
    <xdr:graphicFrame macro="">
      <xdr:nvGraphicFramePr>
        <xdr:cNvPr id="25" name="Chart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xdr:col>
      <xdr:colOff>28946</xdr:colOff>
      <xdr:row>133</xdr:row>
      <xdr:rowOff>81064</xdr:rowOff>
    </xdr:from>
    <xdr:to>
      <xdr:col>24</xdr:col>
      <xdr:colOff>48770</xdr:colOff>
      <xdr:row>152</xdr:row>
      <xdr:rowOff>11791</xdr:rowOff>
    </xdr:to>
    <xdr:graphicFrame macro="">
      <xdr:nvGraphicFramePr>
        <xdr:cNvPr id="26" name="Chart 25">
          <a:extLst>
            <a:ext uri="{FF2B5EF4-FFF2-40B4-BE49-F238E27FC236}">
              <a16:creationId xmlns:a16="http://schemas.microsoft.com/office/drawing/2014/main" id="{00000000-0008-0000-03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18</xdr:col>
      <xdr:colOff>19539</xdr:colOff>
      <xdr:row>172</xdr:row>
      <xdr:rowOff>117231</xdr:rowOff>
    </xdr:from>
    <xdr:to>
      <xdr:col>24</xdr:col>
      <xdr:colOff>48770</xdr:colOff>
      <xdr:row>191</xdr:row>
      <xdr:rowOff>165189</xdr:rowOff>
    </xdr:to>
    <xdr:graphicFrame macro="">
      <xdr:nvGraphicFramePr>
        <xdr:cNvPr id="27" name="Chart 26">
          <a:extLst>
            <a:ext uri="{FF2B5EF4-FFF2-40B4-BE49-F238E27FC236}">
              <a16:creationId xmlns:a16="http://schemas.microsoft.com/office/drawing/2014/main" id="{00000000-0008-0000-0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121920</xdr:colOff>
          <xdr:row>0</xdr:row>
          <xdr:rowOff>0</xdr:rowOff>
        </xdr:from>
        <xdr:to>
          <xdr:col>7</xdr:col>
          <xdr:colOff>1653540</xdr:colOff>
          <xdr:row>2</xdr:row>
          <xdr:rowOff>91440</xdr:rowOff>
        </xdr:to>
        <xdr:sp macro="" textlink="">
          <xdr:nvSpPr>
            <xdr:cNvPr id="2054" name="CommandButton1"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220980</xdr:colOff>
          <xdr:row>0</xdr:row>
          <xdr:rowOff>0</xdr:rowOff>
        </xdr:from>
        <xdr:to>
          <xdr:col>4</xdr:col>
          <xdr:colOff>1173480</xdr:colOff>
          <xdr:row>2</xdr:row>
          <xdr:rowOff>91440</xdr:rowOff>
        </xdr:to>
        <xdr:sp macro="" textlink="">
          <xdr:nvSpPr>
            <xdr:cNvPr id="2055" name="CommandButton2"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457200</xdr:colOff>
          <xdr:row>9</xdr:row>
          <xdr:rowOff>121920</xdr:rowOff>
        </xdr:from>
        <xdr:to>
          <xdr:col>8</xdr:col>
          <xdr:colOff>38100</xdr:colOff>
          <xdr:row>14</xdr:row>
          <xdr:rowOff>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4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381000</xdr:colOff>
          <xdr:row>17</xdr:row>
          <xdr:rowOff>160020</xdr:rowOff>
        </xdr:from>
        <xdr:to>
          <xdr:col>10</xdr:col>
          <xdr:colOff>419100</xdr:colOff>
          <xdr:row>20</xdr:row>
          <xdr:rowOff>60960</xdr:rowOff>
        </xdr:to>
        <xdr:sp macro="" textlink="">
          <xdr:nvSpPr>
            <xdr:cNvPr id="1057" name="CommandButton4" hidden="1">
              <a:extLst>
                <a:ext uri="{63B3BB69-23CF-44E3-9099-C40C66FF867C}">
                  <a14:compatExt spid="_x0000_s1057"/>
                </a:ext>
                <a:ext uri="{FF2B5EF4-FFF2-40B4-BE49-F238E27FC236}">
                  <a16:creationId xmlns:a16="http://schemas.microsoft.com/office/drawing/2014/main" id="{00000000-0008-0000-04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381000</xdr:colOff>
          <xdr:row>15</xdr:row>
          <xdr:rowOff>22860</xdr:rowOff>
        </xdr:from>
        <xdr:to>
          <xdr:col>10</xdr:col>
          <xdr:colOff>419100</xdr:colOff>
          <xdr:row>17</xdr:row>
          <xdr:rowOff>106680</xdr:rowOff>
        </xdr:to>
        <xdr:sp macro="" textlink="">
          <xdr:nvSpPr>
            <xdr:cNvPr id="1059" name="CommandButton6" hidden="1">
              <a:extLst>
                <a:ext uri="{63B3BB69-23CF-44E3-9099-C40C66FF867C}">
                  <a14:compatExt spid="_x0000_s1059"/>
                </a:ext>
                <a:ext uri="{FF2B5EF4-FFF2-40B4-BE49-F238E27FC236}">
                  <a16:creationId xmlns:a16="http://schemas.microsoft.com/office/drawing/2014/main" id="{00000000-0008-0000-04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167640</xdr:rowOff>
        </xdr:from>
        <xdr:to>
          <xdr:col>6</xdr:col>
          <xdr:colOff>175260</xdr:colOff>
          <xdr:row>20</xdr:row>
          <xdr:rowOff>68580</xdr:rowOff>
        </xdr:to>
        <xdr:sp macro="" textlink="">
          <xdr:nvSpPr>
            <xdr:cNvPr id="1060" name="CommandButton3" hidden="1">
              <a:extLst>
                <a:ext uri="{63B3BB69-23CF-44E3-9099-C40C66FF867C}">
                  <a14:compatExt spid="_x0000_s1060"/>
                </a:ext>
                <a:ext uri="{FF2B5EF4-FFF2-40B4-BE49-F238E27FC236}">
                  <a16:creationId xmlns:a16="http://schemas.microsoft.com/office/drawing/2014/main" id="{00000000-0008-0000-04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xdr:row>
          <xdr:rowOff>22860</xdr:rowOff>
        </xdr:from>
        <xdr:to>
          <xdr:col>6</xdr:col>
          <xdr:colOff>190500</xdr:colOff>
          <xdr:row>17</xdr:row>
          <xdr:rowOff>99060</xdr:rowOff>
        </xdr:to>
        <xdr:sp macro="" textlink="">
          <xdr:nvSpPr>
            <xdr:cNvPr id="1063" name="CommandButton7" hidden="1">
              <a:extLst>
                <a:ext uri="{63B3BB69-23CF-44E3-9099-C40C66FF867C}">
                  <a14:compatExt spid="_x0000_s1063"/>
                </a:ext>
                <a:ext uri="{FF2B5EF4-FFF2-40B4-BE49-F238E27FC236}">
                  <a16:creationId xmlns:a16="http://schemas.microsoft.com/office/drawing/2014/main" id="{00000000-0008-0000-04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746760</xdr:colOff>
          <xdr:row>11</xdr:row>
          <xdr:rowOff>137160</xdr:rowOff>
        </xdr:from>
        <xdr:to>
          <xdr:col>9</xdr:col>
          <xdr:colOff>289560</xdr:colOff>
          <xdr:row>13</xdr:row>
          <xdr:rowOff>175260</xdr:rowOff>
        </xdr:to>
        <xdr:sp macro="" textlink="">
          <xdr:nvSpPr>
            <xdr:cNvPr id="1065" name="CommandButton2" hidden="1">
              <a:extLst>
                <a:ext uri="{63B3BB69-23CF-44E3-9099-C40C66FF867C}">
                  <a14:compatExt spid="_x0000_s1065"/>
                </a:ext>
                <a:ext uri="{FF2B5EF4-FFF2-40B4-BE49-F238E27FC236}">
                  <a16:creationId xmlns:a16="http://schemas.microsoft.com/office/drawing/2014/main" id="{00000000-0008-0000-04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754380</xdr:colOff>
          <xdr:row>9</xdr:row>
          <xdr:rowOff>114300</xdr:rowOff>
        </xdr:from>
        <xdr:to>
          <xdr:col>9</xdr:col>
          <xdr:colOff>289560</xdr:colOff>
          <xdr:row>11</xdr:row>
          <xdr:rowOff>129540</xdr:rowOff>
        </xdr:to>
        <xdr:sp macro="" textlink="">
          <xdr:nvSpPr>
            <xdr:cNvPr id="1067" name="CommandButton8" hidden="1">
              <a:extLst>
                <a:ext uri="{63B3BB69-23CF-44E3-9099-C40C66FF867C}">
                  <a14:compatExt spid="_x0000_s1067"/>
                </a:ext>
                <a:ext uri="{FF2B5EF4-FFF2-40B4-BE49-F238E27FC236}">
                  <a16:creationId xmlns:a16="http://schemas.microsoft.com/office/drawing/2014/main" id="{00000000-0008-0000-04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365343</xdr:colOff>
      <xdr:row>0</xdr:row>
      <xdr:rowOff>104383</xdr:rowOff>
    </xdr:from>
    <xdr:to>
      <xdr:col>16</xdr:col>
      <xdr:colOff>250521</xdr:colOff>
      <xdr:row>2</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8935233" y="104383"/>
          <a:ext cx="4321480" cy="150312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First</a:t>
          </a:r>
          <a:r>
            <a:rPr lang="en-US" sz="2000" b="1" baseline="0"/>
            <a:t> check the user guide.</a:t>
          </a:r>
        </a:p>
        <a:p>
          <a:r>
            <a:rPr lang="en-US" sz="2000" b="1" baseline="0"/>
            <a:t>You can delete this message afterwards.</a:t>
          </a:r>
          <a:endParaRPr lang="sk-SK" sz="2000" b="1"/>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1478280</xdr:colOff>
          <xdr:row>3</xdr:row>
          <xdr:rowOff>76200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38100</xdr:colOff>
      <xdr:row>3</xdr:row>
      <xdr:rowOff>45720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0" y="0"/>
          <a:ext cx="2446020" cy="883920"/>
        </a:xfrm>
        <a:prstGeom prst="rect">
          <a:avLst/>
        </a:prstGeom>
        <a:solidFill>
          <a:schemeClr val="accent5">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bg1"/>
              </a:solidFill>
            </a:rPr>
            <a:t>MOVE</a:t>
          </a:r>
          <a:r>
            <a:rPr lang="en-US" sz="2000" b="1" baseline="0">
              <a:solidFill>
                <a:schemeClr val="bg1"/>
              </a:solidFill>
            </a:rPr>
            <a:t> TO REVEAL LOGIN INFO</a:t>
          </a:r>
          <a:endParaRPr lang="sk-SK" sz="2000" b="1">
            <a:solidFill>
              <a:schemeClr val="bg1"/>
            </a:solidFill>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6206853F-3888-4A80-8D88-FF119BBDC90D}" autoFormatId="16" applyNumberFormats="0" applyBorderFormats="0" applyFontFormats="0" applyPatternFormats="0" applyAlignmentFormats="0" applyWidthHeightFormats="0">
  <queryTableRefresh nextId="29" unboundColumnsRight="3">
    <queryTableFields count="4">
      <queryTableField id="1" name="Asset" tableColumnId="1"/>
      <queryTableField id="4" dataBound="0" tableColumnId="5"/>
      <queryTableField id="3" dataBound="0" tableColumnId="3"/>
      <queryTableField id="5" dataBound="0" tableColumnId="6"/>
    </queryTableFields>
    <queryTableDeletedFields count="1">
      <deletedField name="ID"/>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3D56E5ED-7009-4FDE-AFFE-EDDA6945166D}" autoFormatId="16" applyNumberFormats="0" applyBorderFormats="0" applyFontFormats="0" applyPatternFormats="0" applyAlignmentFormats="0" applyWidthHeightFormats="0">
  <queryTableRefresh nextId="23" unboundColumnsRight="14">
    <queryTableFields count="15">
      <queryTableField id="1" name="Asset" tableColumnId="1"/>
      <queryTableField id="2" dataBound="0" tableColumnId="2"/>
      <queryTableField id="3" dataBound="0" tableColumnId="3"/>
      <queryTableField id="5" dataBound="0" tableColumnId="12"/>
      <queryTableField id="4" dataBound="0" tableColumnId="4"/>
      <queryTableField id="12" dataBound="0" tableColumnId="6"/>
      <queryTableField id="7" dataBound="0" tableColumnId="5"/>
      <queryTableField id="13" dataBound="0" tableColumnId="8"/>
      <queryTableField id="14" dataBound="0" tableColumnId="9"/>
      <queryTableField id="16" dataBound="0" tableColumnId="10"/>
      <queryTableField id="17" dataBound="0" tableColumnId="14"/>
      <queryTableField id="19" dataBound="0" tableColumnId="7"/>
      <queryTableField id="20" dataBound="0" tableColumnId="11"/>
      <queryTableField id="21" dataBound="0" tableColumnId="13"/>
      <queryTableField id="22" dataBound="0"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5" xr16:uid="{0CFC8B24-4013-4380-9DD9-DDFC65D0B93C}" autoFormatId="16" applyNumberFormats="0" applyBorderFormats="0" applyFontFormats="0" applyPatternFormats="0" applyAlignmentFormats="0" applyWidthHeightFormats="0">
  <queryTableRefresh nextId="7" unboundColumnsRight="5">
    <queryTableFields count="6">
      <queryTableField id="1" name="Asset" tableColumnId="1"/>
      <queryTableField id="2" dataBound="0" tableColumnId="2"/>
      <queryTableField id="3" dataBound="0" tableColumnId="3"/>
      <queryTableField id="4" dataBound="0" tableColumnId="4"/>
      <queryTableField id="5" dataBound="0" tableColumnId="5"/>
      <queryTableField id="6" dataBound="0" tableColumnId="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A2AC39A8-E184-4796-82BE-C9A868E382AF}" autoFormatId="16" applyNumberFormats="0" applyBorderFormats="0" applyFontFormats="0" applyPatternFormats="0" applyAlignmentFormats="0" applyWidthHeightFormats="0">
  <queryTableRefresh nextId="13">
    <queryTableFields count="9">
      <queryTableField id="11" name="ID" tableColumnId="9"/>
      <queryTableField id="1" name="Date" tableColumnId="1"/>
      <queryTableField id="2" name="Type" tableColumnId="2"/>
      <queryTableField id="3" name="Asset" tableColumnId="3"/>
      <queryTableField id="4" name="Value" tableColumnId="4"/>
      <queryTableField id="5" name="Fee" tableColumnId="5"/>
      <queryTableField id="6" name="Value2" tableColumnId="6"/>
      <queryTableField id="7" name="Quantity" tableColumnId="7"/>
      <queryTableField id="8" name="Coin value" tableColumnId="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6" xr16:uid="{51F6E4BA-364D-411A-A3FB-A807E0AA6D5C}" autoFormatId="16" applyNumberFormats="0" applyBorderFormats="0" applyFontFormats="0" applyPatternFormats="0" applyAlignmentFormats="0" applyWidthHeightFormats="0">
  <queryTableRefresh nextId="14">
    <queryTableFields count="9">
      <queryTableField id="10" name="ID" tableColumnId="5"/>
      <queryTableField id="1" name="Date" tableColumnId="1"/>
      <queryTableField id="2" name="Type" tableColumnId="2"/>
      <queryTableField id="3" name="Asset" tableColumnId="3"/>
      <queryTableField id="4" name="Value" tableColumnId="4"/>
      <queryTableField id="5" name="Fee" tableColumnId="6"/>
      <queryTableField id="6" name="Value2" tableColumnId="7"/>
      <queryTableField id="7" name="Quantity" tableColumnId="8"/>
      <queryTableField id="8" name="Coin value" tableColumnId="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 Coingecko_API_coin_info" connectionId="1" xr16:uid="{445BD02E-F68A-4F2E-9737-63056363036D}" autoFormatId="16" applyNumberFormats="0" applyBorderFormats="0" applyFontFormats="0" applyPatternFormats="0" applyAlignmentFormats="0" applyWidthHeightFormats="0">
  <queryTableRefresh nextId="30">
    <queryTableFields count="29">
      <queryTableField id="1" name="Column1.id" tableColumnId="1"/>
      <queryTableField id="2" name="Column1.symbol" tableColumnId="2"/>
      <queryTableField id="3" name="Column1.name" tableColumnId="3"/>
      <queryTableField id="4" name="Column1.image" tableColumnId="4"/>
      <queryTableField id="5" name="Column1.current_price" tableColumnId="5"/>
      <queryTableField id="6" name="Column1.market_cap" tableColumnId="6"/>
      <queryTableField id="7" name="Column1.market_cap_rank" tableColumnId="7"/>
      <queryTableField id="8" name="Column1.fully_diluted_valuation" tableColumnId="8"/>
      <queryTableField id="9" name="Column1.total_volume" tableColumnId="9"/>
      <queryTableField id="10" name="Column1.high_24h" tableColumnId="10"/>
      <queryTableField id="11" name="Column1.low_24h" tableColumnId="11"/>
      <queryTableField id="12" name="Column1.price_change_24h" tableColumnId="12"/>
      <queryTableField id="13" name="Column1.price_change_percentage_24h" tableColumnId="13"/>
      <queryTableField id="14" name="Column1.market_cap_change_24h" tableColumnId="14"/>
      <queryTableField id="15" name="Column1.market_cap_change_percentage_24h" tableColumnId="15"/>
      <queryTableField id="16" name="Column1.circulating_supply" tableColumnId="16"/>
      <queryTableField id="17" name="Column1.total_supply" tableColumnId="17"/>
      <queryTableField id="18" name="Column1.max_supply" tableColumnId="18"/>
      <queryTableField id="19" name="Column1.ath" tableColumnId="19"/>
      <queryTableField id="20" name="Column1.ath_change_percentage" tableColumnId="20"/>
      <queryTableField id="21" name="Column1.ath_date" tableColumnId="21"/>
      <queryTableField id="22" name="Column1.atl" tableColumnId="22"/>
      <queryTableField id="23" name="Column1.atl_change_percentage" tableColumnId="23"/>
      <queryTableField id="24" name="Column1.atl_date" tableColumnId="24"/>
      <queryTableField id="25" name="Column1.roi" tableColumnId="25"/>
      <queryTableField id="26" name="Column1.last_updated" tableColumnId="26"/>
      <queryTableField id="27" name="Column1.price_change_percentage_1h_in_currency" tableColumnId="27"/>
      <queryTableField id="28" name="Column1.price_change_percentage_1y_in_currency" tableColumnId="28"/>
      <queryTableField id="29" name="Column1.price_change_percentage_30d_in_currency" tableColumnId="2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15F381D-6D3F-4E65-8B4C-DA8276B449D2}" name="Table02_PortfolioLite" displayName="Table02_PortfolioLite" ref="A4:D8" tableType="queryTable" totalsRowCount="1" headerRowDxfId="231" dataDxfId="229" totalsRowDxfId="227" headerRowBorderDxfId="230" tableBorderDxfId="228" totalsRowBorderDxfId="226">
  <autoFilter ref="A4:D7" xr:uid="{815F381D-6D3F-4E65-8B4C-DA8276B449D2}"/>
  <sortState xmlns:xlrd2="http://schemas.microsoft.com/office/spreadsheetml/2017/richdata2" ref="A5:D7">
    <sortCondition descending="1" ref="D4:D7"/>
  </sortState>
  <tableColumns count="4">
    <tableColumn id="1" xr3:uid="{7A7E20EF-34DD-48F6-B419-DCBB10EA20DA}" uniqueName="1" name="Asset" totalsRowLabel="Total:" queryTableFieldId="1" dataDxfId="71" totalsRowDxfId="72"/>
    <tableColumn id="5" xr3:uid="{845DC564-578B-49A9-8723-D02D7DE4621C}" uniqueName="5" name="Current Price/Coin" queryTableFieldId="4" dataDxfId="70" totalsRowDxfId="73">
      <calculatedColumnFormula>IFERROR(VLOOKUP(A5,Coingecko_API!$B$1:$AD$300,4,FALSE),0)</calculatedColumnFormula>
    </tableColumn>
    <tableColumn id="3" xr3:uid="{5E98CB64-17B7-4117-B80A-19711D458FD8}" uniqueName="3" name="Quantity" queryTableFieldId="3" dataDxfId="69" totalsRowDxfId="74">
      <calculatedColumnFormula>IFERROR(SUMIF(Purchases!E:E,A5,Purchases!I:I),0)</calculatedColumnFormula>
    </tableColumn>
    <tableColumn id="6" xr3:uid="{F049B107-9FA1-4D26-81F0-F91B94303152}" uniqueName="6" name="Current Balance" totalsRowFunction="sum" queryTableFieldId="5" dataDxfId="68" totalsRowDxfId="75">
      <calculatedColumnFormula>SUM(Table02_PortfolioLite[[#This Row],[Current Price/Coin]]*Table02_PortfolioLite[[#This Row],[Quantity]])</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586743F-BC5E-47FC-9FB6-C90A7FEA5CAA}" name="Table02_PortfolioPro" displayName="Table02_PortfolioPro" ref="A6:O10" tableType="queryTable" totalsRowCount="1" headerRowDxfId="205" dataDxfId="203" totalsRowDxfId="201" headerRowBorderDxfId="204" tableBorderDxfId="202" totalsRowBorderDxfId="200">
  <autoFilter ref="A6:O9" xr:uid="{E586743F-BC5E-47FC-9FB6-C90A7FEA5CAA}"/>
  <sortState xmlns:xlrd2="http://schemas.microsoft.com/office/spreadsheetml/2017/richdata2" ref="A7:O9">
    <sortCondition ref="B6:B9"/>
  </sortState>
  <tableColumns count="15">
    <tableColumn id="1" xr3:uid="{55CCC290-D1E1-4E62-8408-4A410F827957}" uniqueName="1" name="Asset" queryTableFieldId="1" dataDxfId="46" totalsRowDxfId="47"/>
    <tableColumn id="2" xr3:uid="{8B4C6C25-8BE7-4C81-9D7F-1CB8F7368AC4}" uniqueName="2" name="Asset Rank" queryTableFieldId="2" dataDxfId="45" totalsRowDxfId="48">
      <calculatedColumnFormula>IFERROR(VLOOKUP(A7,Coingecko_API!$B$1:$AD$300,6,FALSE),"")</calculatedColumnFormula>
    </tableColumn>
    <tableColumn id="3" xr3:uid="{7EA4508C-E6D8-4E72-AB5D-6DE1C352135F}" uniqueName="3" name="Quantity" queryTableFieldId="3" dataDxfId="44" totalsRowDxfId="49">
      <calculatedColumnFormula>IFERROR(SUMIF(Purchases!E:E,A7,Purchases!I:I),0)</calculatedColumnFormula>
    </tableColumn>
    <tableColumn id="12" xr3:uid="{AD49A9A7-7823-48E5-A430-8A3E1D4D9AA0}" uniqueName="12" name="Current Balance" queryTableFieldId="5" dataDxfId="43" totalsRowDxfId="50">
      <calculatedColumnFormula>SUM(Table02_PortfolioPro[[#This Row],[Current price]]*Table02_PortfolioPro[[#This Row],[Quantity]])</calculatedColumnFormula>
    </tableColumn>
    <tableColumn id="4" xr3:uid="{7F7C3B20-A000-40AB-AC8D-F512625AB0CA}" uniqueName="4" name="Current price" queryTableFieldId="4" dataDxfId="42" totalsRowDxfId="51">
      <calculatedColumnFormula>IFERROR(VLOOKUP(Table02_PortfolioPro[[#This Row],[Asset]],Coingecko_API!$B$1:$AD$300,4,FALSE),0)</calculatedColumnFormula>
    </tableColumn>
    <tableColumn id="6" xr3:uid="{9EBCF123-0AA6-4230-B151-40FEC726FD6E}" uniqueName="6" name="1h price change %" queryTableFieldId="12" dataDxfId="41" totalsRowDxfId="52" dataCellStyle="Percent">
      <calculatedColumnFormula>IFERROR(VLOOKUP(A7,Coingecko_API!$B$1:$AD$300,26,FALSE)/100,0)</calculatedColumnFormula>
    </tableColumn>
    <tableColumn id="5" xr3:uid="{869BC45D-7B53-4E70-987C-D76EE1A648A4}" uniqueName="5" name="24h price change %" queryTableFieldId="7" dataDxfId="40" totalsRowDxfId="53" dataCellStyle="Percent">
      <calculatedColumnFormula>IFERROR(VLOOKUP(A7,Coingecko_API!$B$1:$AD$300,12,FALSE)/100,0)</calculatedColumnFormula>
    </tableColumn>
    <tableColumn id="8" xr3:uid="{FB6A1C91-3A79-4C98-AA42-40E0772433ED}" uniqueName="8" name="30d price change %" queryTableFieldId="13" dataDxfId="39" totalsRowDxfId="54" dataCellStyle="Percent">
      <calculatedColumnFormula>IFERROR(VLOOKUP(A7,Coingecko_API!$B$1:$AD$300,28,FALSE)/100,0)</calculatedColumnFormula>
    </tableColumn>
    <tableColumn id="9" xr3:uid="{906267F6-4139-4186-BED7-F0B832360559}" uniqueName="9" name="1y price change %" queryTableFieldId="14" dataDxfId="38" totalsRowDxfId="55" dataCellStyle="Percent">
      <calculatedColumnFormula>IFERROR(VLOOKUP(A7,Coingecko_API!$B$1:$AD$300,27,FALSE)/100,0)</calculatedColumnFormula>
    </tableColumn>
    <tableColumn id="10" xr3:uid="{85979EE5-8961-46B3-A67D-B1A71509D86D}" uniqueName="10" name="ATH" queryTableFieldId="16" dataDxfId="37" totalsRowDxfId="56" dataCellStyle="Currency">
      <calculatedColumnFormula>IFERROR(VLOOKUP(A7,Coingecko_API!$B$1:$AD$300,18,FALSE),0)</calculatedColumnFormula>
    </tableColumn>
    <tableColumn id="14" xr3:uid="{F544784C-BD5B-45D1-8BA8-884FB777B0A6}" uniqueName="14" name="ATH price change %" queryTableFieldId="17" dataDxfId="36" totalsRowDxfId="57" dataCellStyle="Percent">
      <calculatedColumnFormula>IFERROR(VLOOKUP(A7,Coingecko_API!$B$1:$AD$300,19,FALSE)/100,0)</calculatedColumnFormula>
    </tableColumn>
    <tableColumn id="7" xr3:uid="{AC7C988D-20DA-4AF5-937F-A7503C2BF603}" uniqueName="7" name="Market cap/Billion" queryTableFieldId="19" dataDxfId="35" totalsRowDxfId="58">
      <calculatedColumnFormula>IFERROR(VLOOKUP(A7,Coingecko_API!$B$1:$AD$300,5,FALSE)/1000000000,0)</calculatedColumnFormula>
    </tableColumn>
    <tableColumn id="11" xr3:uid="{43968786-25E8-453A-B1B2-A4C4DECAF5B7}" uniqueName="11" name="Asset dominance %" queryTableFieldId="20" dataDxfId="34" totalsRowDxfId="59" dataCellStyle="Percent">
      <calculatedColumnFormula>(Table02_PortfolioPro[[#This Row],[Market cap/Billion]]/$M$1)</calculatedColumnFormula>
    </tableColumn>
    <tableColumn id="13" xr3:uid="{EE01EA67-3CFD-4334-A2DF-09EB07695A05}" uniqueName="13" name="Total supply/Million" queryTableFieldId="21" dataDxfId="33" totalsRowDxfId="60" dataCellStyle="Percent">
      <calculatedColumnFormula>IFERROR(VLOOKUP(A7,Coingecko_API!$B$1:$AD$300,16,FALSE)/1000000,0)</calculatedColumnFormula>
    </tableColumn>
    <tableColumn id="15" xr3:uid="{3C289C20-6C1E-4D14-B4B0-043CCD1664A4}" uniqueName="15" name="Circulating supply/Million" queryTableFieldId="22" dataDxfId="32" totalsRowDxfId="61" dataCellStyle="Percent">
      <calculatedColumnFormula>IFERROR(VLOOKUP(A7,Coingecko_API!$B$1:$AD$300,15,FALSE)/1000000,0)</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66998D0-B8A3-4044-81FA-67B0A5763D7B}" name="Table02_PortfolioPro__310" displayName="Table02_PortfolioPro__310" ref="A41:F45" tableType="queryTable" totalsRowCount="1" headerRowDxfId="199" headerRowBorderDxfId="198">
  <autoFilter ref="A41:F44" xr:uid="{A66998D0-B8A3-4044-81FA-67B0A5763D7B}"/>
  <sortState xmlns:xlrd2="http://schemas.microsoft.com/office/spreadsheetml/2017/richdata2" ref="A42:F44">
    <sortCondition descending="1" ref="D50:D61"/>
  </sortState>
  <tableColumns count="6">
    <tableColumn id="1" xr3:uid="{2AE88261-D962-4914-A6C7-38E1E25C05D8}" uniqueName="1" name="Asset" totalsRowLabel="Total" queryTableFieldId="1" dataDxfId="197" totalsRowDxfId="62"/>
    <tableColumn id="2" xr3:uid="{F994C312-CDA5-4914-AA1C-5E600F2406D3}" uniqueName="2" name="Current Balance" totalsRowFunction="sum" queryTableFieldId="2" dataDxfId="196" totalsRowDxfId="63" dataCellStyle="Currency">
      <calculatedColumnFormula>IFERROR(SUMIF(Table02_PortfolioPro[[#Data],[#Totals],[Asset]],Table02_PortfolioPro__310[[#This Row],[Asset]],Table02_PortfolioPro[[#Data],[#Totals],[Current Balance]]),0)</calculatedColumnFormula>
    </tableColumn>
    <tableColumn id="3" xr3:uid="{5484D991-2534-4DD5-AF50-71602211DBFD}" uniqueName="3" name="Fees" totalsRowFunction="sum" queryTableFieldId="3" dataDxfId="195" totalsRowDxfId="64" dataCellStyle="Currency">
      <calculatedColumnFormula>IFERROR(SUMIF(Table1[[#All],[Asset]],Table02_PortfolioPro__310[[#This Row],[Asset]],Table1[[#All],[Fee]]),0)</calculatedColumnFormula>
    </tableColumn>
    <tableColumn id="4" xr3:uid="{690732CB-2350-4A08-8874-3CB2596B2BD0}" uniqueName="4" name="Investment" totalsRowFunction="sum" queryTableFieldId="4" dataDxfId="194" totalsRowDxfId="65" dataCellStyle="Currency">
      <calculatedColumnFormula>IFERROR(SUM(Table02_PortfolioPro__310[[#This Row],[Current Balance]]/((1-ABS(Table02_PortfolioPro__310[[#This Row],[ROI]]))*100)*100)+Table02_PortfolioPro__310[[#This Row],[Fees]],0)</calculatedColumnFormula>
    </tableColumn>
    <tableColumn id="5" xr3:uid="{43987D4A-E7EE-48F9-BD2E-3BEB6E38D94A}" uniqueName="5" name="Profit" totalsRowFunction="sum" queryTableFieldId="5" dataDxfId="193" totalsRowDxfId="66" dataCellStyle="Currency">
      <calculatedColumnFormula>IFERROR(SUM(Table02_PortfolioPro__310[[#This Row],[Current Balance]]-Table02_PortfolioPro__310[[#This Row],[Investment]]),0)</calculatedColumnFormula>
    </tableColumn>
    <tableColumn id="6" xr3:uid="{E7E55D1F-BE19-4431-9902-9768AFEDE2F0}" uniqueName="6" name="ROI" totalsRowFunction="custom" queryTableFieldId="6" dataDxfId="192" totalsRowDxfId="67" dataCellStyle="Percent">
      <calculatedColumnFormula>IFERROR(SUMIF(Table1[[#All],[Asset]],Table02_PortfolioPro__310[[#This Row],[Asset]],Table1[[#All],[% change]])/COUNTIFS(Table1[[#All],[Asset]],Table02_PortfolioPro__310[[#This Row],[Asset]],Table1[[#All],[% change]],"&lt;&gt;"),0)</calculatedColumnFormula>
      <totalsRowFormula>IFERROR((Table02_PortfolioPro__310[[#Totals],[Current Balance]]-Table02_PortfolioPro__310[[#Totals],[Investment]])/Table02_PortfolioPro__310[[#Totals],[Investment]],"")</totalsRow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954880-CD32-44F0-A7B2-89C1E49E0E5F}" name="Table1" displayName="Table1" ref="B1:K7" totalsRowCount="1" headerRowDxfId="116" totalsRowDxfId="115" totalsRowBorderDxfId="114">
  <autoFilter ref="B1:K6" xr:uid="{9D954880-CD32-44F0-A7B2-89C1E49E0E5F}"/>
  <tableColumns count="10">
    <tableColumn id="10" xr3:uid="{2324E7DC-250A-44E0-BF99-5AFFCAC3CCB8}" name="ID" dataDxfId="113" totalsRowDxfId="112">
      <calculatedColumnFormula>ROW()-1</calculatedColumnFormula>
    </tableColumn>
    <tableColumn id="1" xr3:uid="{AB59954D-4A02-4C60-A5BF-5D314BB37081}" name="Date" dataDxfId="111" totalsRowDxfId="110"/>
    <tableColumn id="2" xr3:uid="{402C17F2-14FB-4DD9-9AEF-13C7DDEA5647}" name="Type" dataDxfId="109" totalsRowDxfId="108"/>
    <tableColumn id="3" xr3:uid="{D2A49625-CFE2-412F-B262-92334CE01741}" name="Asset" dataDxfId="107" totalsRowDxfId="106"/>
    <tableColumn id="4" xr3:uid="{51F7C6FB-1296-42B5-BB58-30F57CD46625}" name="Value" dataDxfId="105" totalsRowDxfId="104" dataCellStyle="Note"/>
    <tableColumn id="5" xr3:uid="{012E7BEB-77FF-4BB9-9A0E-5724AB548BAE}" name="Fee" dataDxfId="103" totalsRowDxfId="102"/>
    <tableColumn id="6" xr3:uid="{8578A298-5CD1-40C8-9E39-3C509D0FAFC9}" name="Value2" dataDxfId="101" totalsRowDxfId="100">
      <calculatedColumnFormula>IFERROR(SUM(F2-G2),"0")</calculatedColumnFormula>
    </tableColumn>
    <tableColumn id="7" xr3:uid="{4436D727-2483-4F5C-9229-DD4010654E26}" name="Quantity" dataDxfId="99" totalsRowDxfId="98" dataCellStyle="Comma">
      <calculatedColumnFormula>IFERROR(SUM(H2/J2), "-")</calculatedColumnFormula>
    </tableColumn>
    <tableColumn id="8" xr3:uid="{6BBFDDC4-40CD-4613-A9A2-007A7BEB7044}" name="Coin value" dataDxfId="97" totalsRowDxfId="96"/>
    <tableColumn id="9" xr3:uid="{581D80C2-EFF1-4B47-B873-5FE2C1D10718}" name="% change" dataDxfId="95" totalsRowDxfId="94" dataCellStyle="Percent">
      <calculatedColumnFormula>IFERROR(IF(Table1[[#This Row],[Asset]]="eur","",SUM((VLOOKUP(Table1[[#This Row],[Asset]],Coingecko_API!$B$1:$M$5000,4,FALSE)/Table1[[#This Row],[Coin value]])-1)),"0")</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140308F-124B-424E-B660-3519DA30F11C}" name="Table01" displayName="Table01" ref="A1:I3" tableType="queryTable" totalsRowCount="1" headerRowDxfId="79" dataDxfId="78" totalsRowDxfId="77">
  <autoFilter ref="A1:I2" xr:uid="{5140308F-124B-424E-B660-3519DA30F11C}"/>
  <sortState xmlns:xlrd2="http://schemas.microsoft.com/office/spreadsheetml/2017/richdata2" ref="A2:I2">
    <sortCondition ref="B1:B2"/>
  </sortState>
  <tableColumns count="9">
    <tableColumn id="9" xr3:uid="{B93C5E69-001D-4186-8800-7D1AFA2E878E}" uniqueName="9" name="ID" queryTableFieldId="11"/>
    <tableColumn id="1" xr3:uid="{773F2469-C922-4B09-B393-45F0053CC4B6}" uniqueName="1" name="Date" queryTableFieldId="1" dataDxfId="7" totalsRowDxfId="8"/>
    <tableColumn id="2" xr3:uid="{06DC9910-E846-430F-990B-FC4EEE1086BD}" uniqueName="2" name="Type" queryTableFieldId="2" dataDxfId="6" totalsRowDxfId="9"/>
    <tableColumn id="3" xr3:uid="{85DE84C4-863E-401D-AD7F-F4A42A1B94B2}" uniqueName="3" name="Asset" queryTableFieldId="3" dataDxfId="5" totalsRowDxfId="10"/>
    <tableColumn id="4" xr3:uid="{A501EF7C-7285-4F17-B87B-50C0A7968A1A}" uniqueName="4" name="Value" queryTableFieldId="4" dataDxfId="4" totalsRowDxfId="11" dataCellStyle="Note"/>
    <tableColumn id="5" xr3:uid="{1A23A0C4-B2B5-433F-81BC-D6105C2BD14F}" uniqueName="5" name="Fee" queryTableFieldId="5" dataDxfId="3" totalsRowDxfId="12"/>
    <tableColumn id="6" xr3:uid="{5102900E-EB70-42D6-8143-9B266757A76E}" uniqueName="6" name="Value2" queryTableFieldId="6" dataDxfId="2" totalsRowDxfId="13" dataCellStyle="Comma"/>
    <tableColumn id="7" xr3:uid="{31F1DC7D-0174-447F-A3E9-10F05145604C}" uniqueName="7" name="Quantity" queryTableFieldId="7" dataDxfId="1" totalsRowDxfId="14" dataCellStyle="Comma"/>
    <tableColumn id="8" xr3:uid="{50DF632B-902F-453B-830B-4FB2350F109D}" uniqueName="8" name="Coin value" queryTableFieldId="8" dataDxfId="0" totalsRowDxfId="1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6578D60-0044-48E1-8631-8AFEFFEA5F69}" name="Table03" displayName="Table03" ref="A5:I7" tableType="queryTable" totalsRowCount="1" headerRowDxfId="76">
  <autoFilter ref="A5:I6" xr:uid="{36578D60-0044-48E1-8631-8AFEFFEA5F69}"/>
  <sortState xmlns:xlrd2="http://schemas.microsoft.com/office/spreadsheetml/2017/richdata2" ref="A6:I6">
    <sortCondition ref="B5:B6"/>
  </sortState>
  <tableColumns count="9">
    <tableColumn id="5" xr3:uid="{8A8C7AC9-9AD1-4B27-A4C2-C44E1DFC86E3}" uniqueName="5" name="ID" queryTableFieldId="10"/>
    <tableColumn id="1" xr3:uid="{3A1DF8BD-557C-41C4-9F4F-CE7FF04A16F9}" uniqueName="1" name="Date" queryTableFieldId="1" dataDxfId="23" totalsRowDxfId="24"/>
    <tableColumn id="2" xr3:uid="{C1B7A095-05D3-417A-9018-F1147D49B340}" uniqueName="2" name="Type" queryTableFieldId="2" dataDxfId="22" totalsRowDxfId="25"/>
    <tableColumn id="3" xr3:uid="{7BD68C20-EB6E-4B2E-8C4F-B48927100A2D}" uniqueName="3" name="Asset" queryTableFieldId="3" dataDxfId="21" totalsRowDxfId="26"/>
    <tableColumn id="4" xr3:uid="{9C864C82-04BA-4648-8948-4E5E8DF7F65C}" uniqueName="4" name="Value" queryTableFieldId="4" dataDxfId="20" totalsRowDxfId="27" dataCellStyle="Note"/>
    <tableColumn id="6" xr3:uid="{0FA03831-7080-4E96-A9F9-9883224EC3B0}" uniqueName="6" name="Fee" queryTableFieldId="5" dataDxfId="19" totalsRowDxfId="28"/>
    <tableColumn id="7" xr3:uid="{F8D4FA36-3552-48B4-B932-94899AAE3BB8}" uniqueName="7" name="Value2" queryTableFieldId="6" dataDxfId="18" totalsRowDxfId="29" dataCellStyle="Comma"/>
    <tableColumn id="8" xr3:uid="{D29FC761-2AE7-4088-9EBE-79DA936DF0C6}" uniqueName="8" name="Quantity" queryTableFieldId="7" dataDxfId="17" totalsRowDxfId="30" dataCellStyle="Comma"/>
    <tableColumn id="9" xr3:uid="{21305747-0A05-464E-A3F8-A2A2D8FF7332}" uniqueName="9" name="Coin value" queryTableFieldId="8" dataDxfId="16" totalsRowDxfId="31" dataCellStyle="Comma"/>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A1BAF2-6E3F-4428-A6F0-5AD35FAEBF47}" name="Coingecko_API_coin_info" displayName="Coingecko_API_coin_info" ref="A1:AC201" tableType="queryTable" totalsRowShown="0">
  <autoFilter ref="A1:AC201" xr:uid="{C1A1BAF2-6E3F-4428-A6F0-5AD35FAEBF47}"/>
  <tableColumns count="29">
    <tableColumn id="1" xr3:uid="{AA409C77-582B-4B8F-855E-AD3C19AFC84E}" uniqueName="1" name="Column1.id" queryTableFieldId="1"/>
    <tableColumn id="2" xr3:uid="{B47A54C3-A372-4C01-8E89-5449B83C45D0}" uniqueName="2" name="Column1.symbol" queryTableFieldId="2"/>
    <tableColumn id="3" xr3:uid="{B53A46B2-0624-4A73-A811-772251261C4F}" uniqueName="3" name="Column1.name" queryTableFieldId="3"/>
    <tableColumn id="4" xr3:uid="{7AAA3783-1E70-46C3-B79B-CAC144AF2F31}" uniqueName="4" name="Column1.image" queryTableFieldId="4"/>
    <tableColumn id="5" xr3:uid="{783C3D30-008E-4439-9CEE-99FCB8E138B0}" uniqueName="5" name="Column1.current_price" queryTableFieldId="5"/>
    <tableColumn id="6" xr3:uid="{912DD3F2-C0F4-4568-AE57-91BD1743C065}" uniqueName="6" name="Column1.market_cap" queryTableFieldId="6"/>
    <tableColumn id="7" xr3:uid="{452C39DC-CEF4-4407-A6D1-E99224EBB379}" uniqueName="7" name="Column1.market_cap_rank" queryTableFieldId="7"/>
    <tableColumn id="8" xr3:uid="{9201EC21-FAF1-4648-8A17-2A26D2EC5B23}" uniqueName="8" name="Column1.fully_diluted_valuation" queryTableFieldId="8"/>
    <tableColumn id="9" xr3:uid="{66D32B09-6B80-4E87-84ED-F0F269DE46AB}" uniqueName="9" name="Column1.total_volume" queryTableFieldId="9"/>
    <tableColumn id="10" xr3:uid="{94A314F4-0F91-498C-BD08-E9EFE882400D}" uniqueName="10" name="Column1.high_24h" queryTableFieldId="10"/>
    <tableColumn id="11" xr3:uid="{5C06CD71-8EBA-4597-B18C-0358BEA356A1}" uniqueName="11" name="Column1.low_24h" queryTableFieldId="11"/>
    <tableColumn id="12" xr3:uid="{7A309832-AFB2-41F5-B489-2F1C5CF7C175}" uniqueName="12" name="Column1.price_change_24h" queryTableFieldId="12"/>
    <tableColumn id="13" xr3:uid="{958CA5A4-3F24-4D36-9966-01021049D42C}" uniqueName="13" name="Column1.price_change_percentage_24h" queryTableFieldId="13"/>
    <tableColumn id="14" xr3:uid="{BF73B6A9-ED54-4F31-8CE3-B35F3F673978}" uniqueName="14" name="Column1.market_cap_change_24h" queryTableFieldId="14"/>
    <tableColumn id="15" xr3:uid="{BEB3715F-F33F-4087-A229-ACF62C006773}" uniqueName="15" name="Column1.market_cap_change_percentage_24h" queryTableFieldId="15"/>
    <tableColumn id="16" xr3:uid="{E25EABF5-B003-450A-BD8C-F0C1E60308BC}" uniqueName="16" name="Column1.circulating_supply" queryTableFieldId="16"/>
    <tableColumn id="17" xr3:uid="{7C6C959A-3AE3-4A54-8F39-0A6D3F45E4D4}" uniqueName="17" name="Column1.total_supply" queryTableFieldId="17"/>
    <tableColumn id="18" xr3:uid="{8291A3F3-1BC4-4515-82D2-EE7324733A91}" uniqueName="18" name="Column1.max_supply" queryTableFieldId="18"/>
    <tableColumn id="19" xr3:uid="{0D2C4258-97E9-4714-A312-61D9EF673016}" uniqueName="19" name="Column1.ath" queryTableFieldId="19"/>
    <tableColumn id="20" xr3:uid="{A6808BB3-DE01-4F48-A092-5E811D8ED7EB}" uniqueName="20" name="Column1.ath_change_percentage" queryTableFieldId="20"/>
    <tableColumn id="21" xr3:uid="{0D050008-1F45-421D-8221-6BE504291B33}" uniqueName="21" name="Column1.ath_date" queryTableFieldId="21"/>
    <tableColumn id="22" xr3:uid="{76BEE4D4-A4F4-4445-BF18-92BAAB45A12A}" uniqueName="22" name="Column1.atl" queryTableFieldId="22"/>
    <tableColumn id="23" xr3:uid="{0471CA4D-F020-482A-BF51-64C820B7D851}" uniqueName="23" name="Column1.atl_change_percentage" queryTableFieldId="23"/>
    <tableColumn id="24" xr3:uid="{34F4746C-274C-4377-83DA-EC69F2E2FA26}" uniqueName="24" name="Column1.atl_date" queryTableFieldId="24"/>
    <tableColumn id="25" xr3:uid="{FBF2BB3D-1BA4-4794-947F-703AE1DB0381}" uniqueName="25" name="Column1.roi" queryTableFieldId="25"/>
    <tableColumn id="26" xr3:uid="{411CB602-7B48-40E5-B4D7-D7CB1571C6E2}" uniqueName="26" name="Column1.last_updated" queryTableFieldId="26"/>
    <tableColumn id="27" xr3:uid="{80965430-1F94-457E-B674-EBE4B2A482AE}" uniqueName="27" name="Column1.price_change_percentage_1h_in_currency" queryTableFieldId="27"/>
    <tableColumn id="28" xr3:uid="{640EA888-25A0-4204-9DF2-1EFBD316645C}" uniqueName="28" name="Column1.price_change_percentage_1y_in_currency" queryTableFieldId="28"/>
    <tableColumn id="29" xr3:uid="{C47FEB44-B49E-4B60-A961-46D82AC312D4}" uniqueName="29" name="Column1.price_change_percentage_30d_in_currency" queryTableFieldId="2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0.emf"/><Relationship Id="rId3" Type="http://schemas.openxmlformats.org/officeDocument/2006/relationships/vmlDrawing" Target="../drawings/vmlDrawing1.vml"/><Relationship Id="rId7" Type="http://schemas.openxmlformats.org/officeDocument/2006/relationships/image" Target="../media/image7.emf"/><Relationship Id="rId12" Type="http://schemas.openxmlformats.org/officeDocument/2006/relationships/control" Target="../activeX/activeX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9.emf"/><Relationship Id="rId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8.emf"/><Relationship Id="rId1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5.emf"/><Relationship Id="rId3" Type="http://schemas.openxmlformats.org/officeDocument/2006/relationships/vmlDrawing" Target="../drawings/vmlDrawing2.vml"/><Relationship Id="rId7" Type="http://schemas.openxmlformats.org/officeDocument/2006/relationships/image" Target="../media/image12.emf"/><Relationship Id="rId12" Type="http://schemas.openxmlformats.org/officeDocument/2006/relationships/control" Target="../activeX/activeX1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11" Type="http://schemas.openxmlformats.org/officeDocument/2006/relationships/image" Target="../media/image14.emf"/><Relationship Id="rId5" Type="http://schemas.openxmlformats.org/officeDocument/2006/relationships/image" Target="../media/image11.emf"/><Relationship Id="rId15" Type="http://schemas.openxmlformats.org/officeDocument/2006/relationships/table" Target="../tables/table3.xml"/><Relationship Id="rId10" Type="http://schemas.openxmlformats.org/officeDocument/2006/relationships/control" Target="../activeX/activeX9.xml"/><Relationship Id="rId4" Type="http://schemas.openxmlformats.org/officeDocument/2006/relationships/control" Target="../activeX/activeX6.xml"/><Relationship Id="rId9" Type="http://schemas.openxmlformats.org/officeDocument/2006/relationships/image" Target="../media/image13.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20.emf"/><Relationship Id="rId18" Type="http://schemas.openxmlformats.org/officeDocument/2006/relationships/table" Target="../tables/table4.xml"/><Relationship Id="rId3" Type="http://schemas.openxmlformats.org/officeDocument/2006/relationships/vmlDrawing" Target="../drawings/vmlDrawing3.vml"/><Relationship Id="rId7" Type="http://schemas.openxmlformats.org/officeDocument/2006/relationships/image" Target="../media/image17.emf"/><Relationship Id="rId12" Type="http://schemas.openxmlformats.org/officeDocument/2006/relationships/control" Target="../activeX/activeX15.xml"/><Relationship Id="rId17" Type="http://schemas.openxmlformats.org/officeDocument/2006/relationships/image" Target="../media/image22.emf"/><Relationship Id="rId2" Type="http://schemas.openxmlformats.org/officeDocument/2006/relationships/drawing" Target="../drawings/drawing5.xml"/><Relationship Id="rId16" Type="http://schemas.openxmlformats.org/officeDocument/2006/relationships/control" Target="../activeX/activeX17.xml"/><Relationship Id="rId1" Type="http://schemas.openxmlformats.org/officeDocument/2006/relationships/printerSettings" Target="../printerSettings/printerSettings5.bin"/><Relationship Id="rId6" Type="http://schemas.openxmlformats.org/officeDocument/2006/relationships/control" Target="../activeX/activeX12.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4.xml"/><Relationship Id="rId4" Type="http://schemas.openxmlformats.org/officeDocument/2006/relationships/control" Target="../activeX/activeX11.xml"/><Relationship Id="rId9" Type="http://schemas.openxmlformats.org/officeDocument/2006/relationships/image" Target="../media/image18.emf"/><Relationship Id="rId14" Type="http://schemas.openxmlformats.org/officeDocument/2006/relationships/control" Target="../activeX/activeX1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23.emf"/><Relationship Id="rId4" Type="http://schemas.openxmlformats.org/officeDocument/2006/relationships/control" Target="../activeX/activeX1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20698-1BC4-45EF-9061-12C9275D6F79}">
  <sheetPr codeName="Sheet8">
    <tabColor theme="8" tint="-0.249977111117893"/>
  </sheetPr>
  <dimension ref="C26:Z35"/>
  <sheetViews>
    <sheetView zoomScale="70" zoomScaleNormal="70" workbookViewId="0">
      <selection activeCell="R31" sqref="R31:Y31"/>
    </sheetView>
  </sheetViews>
  <sheetFormatPr defaultRowHeight="14.4" x14ac:dyDescent="0.3"/>
  <cols>
    <col min="1" max="14" width="8.88671875" style="252"/>
    <col min="15" max="15" width="22.5546875" style="252" customWidth="1"/>
    <col min="16" max="16" width="4.77734375" style="252" customWidth="1"/>
    <col min="17" max="17" width="8.88671875" style="252" hidden="1" customWidth="1"/>
    <col min="18" max="18" width="8.88671875" style="252" customWidth="1"/>
    <col min="19" max="16384" width="8.88671875" style="252"/>
  </cols>
  <sheetData>
    <row r="26" spans="3:26" x14ac:dyDescent="0.3">
      <c r="I26" s="253"/>
      <c r="J26" s="253"/>
      <c r="K26" s="253"/>
      <c r="L26" s="253"/>
      <c r="M26" s="253"/>
      <c r="N26" s="253"/>
      <c r="O26" s="253"/>
      <c r="P26" s="253"/>
      <c r="Q26" s="253"/>
      <c r="R26" s="253"/>
      <c r="S26" s="253"/>
      <c r="T26" s="253"/>
      <c r="U26" s="253"/>
      <c r="V26" s="253"/>
      <c r="W26" s="253"/>
      <c r="X26" s="253"/>
      <c r="Y26" s="253"/>
      <c r="Z26" s="253"/>
    </row>
    <row r="27" spans="3:26" x14ac:dyDescent="0.3">
      <c r="I27" s="253"/>
      <c r="J27" s="253"/>
      <c r="K27" s="253"/>
      <c r="L27" s="253"/>
      <c r="M27" s="253"/>
      <c r="N27" s="253"/>
      <c r="O27" s="253"/>
      <c r="P27" s="253"/>
      <c r="Q27" s="253"/>
      <c r="R27" s="253"/>
      <c r="S27" s="253"/>
      <c r="T27" s="253"/>
      <c r="U27" s="253"/>
      <c r="V27" s="253"/>
      <c r="W27" s="253"/>
      <c r="X27" s="253"/>
      <c r="Y27" s="253"/>
      <c r="Z27" s="253"/>
    </row>
    <row r="28" spans="3:26" x14ac:dyDescent="0.3">
      <c r="I28" s="253"/>
      <c r="J28" s="253"/>
      <c r="K28" s="253"/>
      <c r="L28" s="253"/>
      <c r="M28" s="253"/>
      <c r="N28" s="253"/>
      <c r="O28" s="253"/>
      <c r="P28" s="253"/>
      <c r="Q28" s="253"/>
      <c r="R28" s="253"/>
      <c r="S28" s="253"/>
      <c r="T28" s="253"/>
      <c r="U28" s="253"/>
      <c r="V28" s="253"/>
      <c r="W28" s="253"/>
      <c r="X28" s="253"/>
      <c r="Y28" s="253"/>
      <c r="Z28" s="253"/>
    </row>
    <row r="29" spans="3:26" x14ac:dyDescent="0.3">
      <c r="I29" s="253"/>
      <c r="J29" s="253"/>
      <c r="K29" s="253"/>
      <c r="L29" s="253"/>
      <c r="M29" s="253"/>
      <c r="N29" s="253"/>
      <c r="O29" s="253"/>
      <c r="P29" s="253"/>
      <c r="Q29" s="253"/>
      <c r="R29" s="253"/>
      <c r="S29" s="253"/>
      <c r="T29" s="253"/>
      <c r="U29" s="253"/>
      <c r="V29" s="253"/>
      <c r="W29" s="253"/>
      <c r="X29" s="253"/>
      <c r="Y29" s="253"/>
      <c r="Z29" s="253"/>
    </row>
    <row r="30" spans="3:26" ht="21.6" thickBot="1" x14ac:dyDescent="0.45">
      <c r="I30" s="254"/>
      <c r="J30" s="254"/>
      <c r="K30" s="254"/>
      <c r="L30" s="254"/>
      <c r="M30" s="254"/>
      <c r="N30" s="254"/>
      <c r="O30" s="254"/>
      <c r="P30" s="254"/>
      <c r="Q30" s="254"/>
      <c r="R30" s="254"/>
      <c r="S30" s="254"/>
      <c r="T30" s="254"/>
      <c r="U30" s="254"/>
      <c r="V30" s="254"/>
      <c r="W30" s="254"/>
      <c r="X30" s="254"/>
      <c r="Y30" s="254"/>
      <c r="Z30" s="254"/>
    </row>
    <row r="31" spans="3:26" ht="22.2" thickTop="1" thickBot="1" x14ac:dyDescent="0.45">
      <c r="C31" s="255"/>
      <c r="G31" s="255" t="s">
        <v>1150</v>
      </c>
      <c r="I31" s="253"/>
      <c r="J31" s="331" t="s">
        <v>1148</v>
      </c>
      <c r="K31" s="332"/>
      <c r="L31" s="332"/>
      <c r="M31" s="332"/>
      <c r="N31" s="332"/>
      <c r="O31" s="333"/>
      <c r="P31" s="253"/>
      <c r="Q31" s="253"/>
      <c r="R31" s="331" t="s">
        <v>1149</v>
      </c>
      <c r="S31" s="332"/>
      <c r="T31" s="332"/>
      <c r="U31" s="332"/>
      <c r="V31" s="332"/>
      <c r="W31" s="332"/>
      <c r="X31" s="332"/>
      <c r="Y31" s="333"/>
      <c r="Z31" s="253"/>
    </row>
    <row r="32" spans="3:26" ht="15" thickTop="1" x14ac:dyDescent="0.3">
      <c r="I32" s="253"/>
      <c r="J32" s="253"/>
      <c r="K32" s="253"/>
      <c r="L32" s="253"/>
      <c r="M32" s="253"/>
      <c r="N32" s="253"/>
      <c r="O32" s="253"/>
      <c r="P32" s="253"/>
      <c r="Q32" s="253"/>
      <c r="R32" s="253"/>
      <c r="S32" s="253"/>
      <c r="T32" s="253"/>
      <c r="U32" s="253"/>
      <c r="V32" s="253"/>
      <c r="W32" s="253"/>
      <c r="X32" s="253"/>
      <c r="Y32" s="253"/>
      <c r="Z32" s="253"/>
    </row>
    <row r="33" spans="9:26" x14ac:dyDescent="0.3">
      <c r="I33" s="253"/>
      <c r="J33" s="253"/>
      <c r="K33" s="253"/>
      <c r="L33" s="253"/>
      <c r="M33" s="253"/>
      <c r="N33" s="253"/>
      <c r="O33" s="253"/>
      <c r="P33" s="253"/>
      <c r="Q33" s="253"/>
      <c r="R33" s="253"/>
      <c r="S33" s="253"/>
      <c r="T33" s="253"/>
      <c r="U33" s="253"/>
      <c r="V33" s="253"/>
      <c r="W33" s="253"/>
      <c r="X33" s="253"/>
      <c r="Y33" s="253"/>
      <c r="Z33" s="253"/>
    </row>
    <row r="34" spans="9:26" x14ac:dyDescent="0.3">
      <c r="I34" s="253"/>
      <c r="J34" s="256"/>
      <c r="K34" s="253"/>
      <c r="L34" s="253"/>
      <c r="M34" s="253"/>
      <c r="N34" s="253"/>
      <c r="O34" s="253"/>
      <c r="P34" s="253"/>
      <c r="Q34" s="253"/>
      <c r="R34" s="253"/>
      <c r="S34" s="253"/>
      <c r="T34" s="253"/>
      <c r="U34" s="253"/>
      <c r="V34" s="253"/>
      <c r="W34" s="253"/>
      <c r="X34" s="253"/>
      <c r="Y34" s="253"/>
      <c r="Z34" s="253"/>
    </row>
    <row r="35" spans="9:26" x14ac:dyDescent="0.3">
      <c r="I35" s="253"/>
      <c r="J35" s="253"/>
      <c r="K35" s="253"/>
      <c r="L35" s="253"/>
      <c r="M35" s="253"/>
      <c r="N35" s="253"/>
      <c r="O35" s="253"/>
      <c r="P35" s="253"/>
      <c r="Q35" s="253"/>
      <c r="R35" s="253"/>
      <c r="S35" s="253"/>
      <c r="T35" s="253"/>
      <c r="U35" s="253"/>
      <c r="V35" s="253"/>
      <c r="W35" s="253"/>
      <c r="X35" s="253"/>
      <c r="Y35" s="253"/>
      <c r="Z35" s="253"/>
    </row>
  </sheetData>
  <sheetProtection algorithmName="SHA-512" hashValue="9ozfcswoUiq/OO/QRjubqL5K+QlPFAd9xhcTikoy/TKUVPHxgsEgYmf8EukmPcTlWADmyD5goMTIy9gFBCrO6g==" saltValue="Q918CvsS2er5ekJMiqb2bA==" spinCount="100000" sheet="1" objects="1" scenarios="1"/>
  <mergeCells count="2">
    <mergeCell ref="J31:O31"/>
    <mergeCell ref="R31:Y31"/>
  </mergeCells>
  <pageMargins left="0.7" right="0.7" top="0.75" bottom="0.75" header="0.3" footer="0.3"/>
  <pageSetup paperSize="9" orientation="portrait" r:id="rId1"/>
  <headerFooter>
    <oddHeader>&amp;Rby MUSHROOM&amp;CCrypto Sheets&amp;L2022</oddHeader>
    <oddFooter>&amp;Rby MUSHROOM&amp;CCrypto Sheets&amp;L2022</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F36461-5F54-4930-B8D6-EB583E501A60}">
  <sheetPr codeName="Sheet7">
    <tabColor theme="0"/>
  </sheetPr>
  <dimension ref="A1:W97"/>
  <sheetViews>
    <sheetView topLeftCell="S12" zoomScale="70" zoomScaleNormal="70" workbookViewId="0">
      <selection activeCell="L24" sqref="L24"/>
    </sheetView>
  </sheetViews>
  <sheetFormatPr defaultColWidth="14.88671875" defaultRowHeight="14.4" x14ac:dyDescent="0.3"/>
  <cols>
    <col min="1" max="16384" width="14.88671875" style="106"/>
  </cols>
  <sheetData>
    <row r="1" spans="1:23" ht="15" thickTop="1" x14ac:dyDescent="0.3">
      <c r="A1" s="97"/>
      <c r="B1" s="98"/>
      <c r="C1" s="98"/>
      <c r="D1" s="98"/>
      <c r="E1" s="98"/>
      <c r="F1" s="98"/>
      <c r="G1" s="98"/>
      <c r="H1" s="98"/>
      <c r="I1" s="98"/>
      <c r="J1" s="98"/>
      <c r="K1" s="99"/>
      <c r="L1" s="74"/>
      <c r="M1" s="76"/>
      <c r="N1" s="120"/>
      <c r="O1" s="77"/>
      <c r="P1" s="77"/>
      <c r="Q1" s="77"/>
      <c r="R1" s="77"/>
      <c r="S1" s="77"/>
      <c r="T1" s="77"/>
      <c r="U1" s="77"/>
      <c r="V1" s="77"/>
      <c r="W1" s="78"/>
    </row>
    <row r="2" spans="1:23" x14ac:dyDescent="0.3">
      <c r="A2" s="100"/>
      <c r="B2" s="74"/>
      <c r="C2" s="74"/>
      <c r="D2" s="74"/>
      <c r="E2" s="74"/>
      <c r="F2" s="74"/>
      <c r="G2" s="74"/>
      <c r="H2" s="74"/>
      <c r="I2" s="74"/>
      <c r="J2" s="74"/>
      <c r="K2" s="101"/>
      <c r="L2" s="74"/>
      <c r="M2" s="79"/>
      <c r="N2" s="116"/>
      <c r="O2" s="74"/>
      <c r="P2" s="74"/>
      <c r="Q2" s="74"/>
      <c r="R2" s="74"/>
      <c r="S2" s="74"/>
      <c r="T2" s="74"/>
      <c r="U2" s="74"/>
      <c r="V2" s="74"/>
      <c r="W2" s="80"/>
    </row>
    <row r="3" spans="1:23" x14ac:dyDescent="0.3">
      <c r="A3" s="100"/>
      <c r="B3" s="74"/>
      <c r="C3" s="74"/>
      <c r="D3" s="74"/>
      <c r="E3" s="74"/>
      <c r="F3" s="74"/>
      <c r="G3" s="74"/>
      <c r="H3" s="74"/>
      <c r="I3" s="74"/>
      <c r="J3" s="74"/>
      <c r="K3" s="101"/>
      <c r="L3" s="74"/>
      <c r="M3" s="79"/>
      <c r="N3" s="116"/>
      <c r="O3" s="74"/>
      <c r="P3" s="74"/>
      <c r="Q3" s="74"/>
      <c r="R3" s="74"/>
      <c r="S3" s="74"/>
      <c r="T3" s="74"/>
      <c r="U3" s="74"/>
      <c r="V3" s="74"/>
      <c r="W3" s="80"/>
    </row>
    <row r="4" spans="1:23" x14ac:dyDescent="0.3">
      <c r="A4" s="100"/>
      <c r="B4" s="74"/>
      <c r="C4" s="74"/>
      <c r="D4" s="74"/>
      <c r="E4" s="74"/>
      <c r="F4" s="74"/>
      <c r="G4" s="74"/>
      <c r="H4" s="74"/>
      <c r="I4" s="74"/>
      <c r="J4" s="74"/>
      <c r="K4" s="101"/>
      <c r="L4" s="74"/>
      <c r="M4" s="79"/>
      <c r="N4" s="116"/>
      <c r="O4" s="74"/>
      <c r="P4" s="74"/>
      <c r="Q4" s="74"/>
      <c r="R4" s="74"/>
      <c r="S4" s="74"/>
      <c r="T4" s="74"/>
      <c r="U4" s="74"/>
      <c r="V4" s="74"/>
      <c r="W4" s="80"/>
    </row>
    <row r="5" spans="1:23" x14ac:dyDescent="0.3">
      <c r="A5" s="100"/>
      <c r="B5" s="74"/>
      <c r="C5" s="74"/>
      <c r="D5" s="74"/>
      <c r="E5" s="74"/>
      <c r="F5" s="74"/>
      <c r="G5" s="74"/>
      <c r="H5" s="74"/>
      <c r="I5" s="74"/>
      <c r="J5" s="74"/>
      <c r="K5" s="101"/>
      <c r="L5" s="74"/>
      <c r="M5" s="79"/>
      <c r="N5" s="116"/>
      <c r="O5" s="74"/>
      <c r="P5" s="74"/>
      <c r="Q5" s="74"/>
      <c r="R5" s="74"/>
      <c r="S5" s="74"/>
      <c r="T5" s="74"/>
      <c r="U5" s="74"/>
      <c r="V5" s="74"/>
      <c r="W5" s="80"/>
    </row>
    <row r="6" spans="1:23" x14ac:dyDescent="0.3">
      <c r="A6" s="100"/>
      <c r="B6" s="74"/>
      <c r="C6" s="74"/>
      <c r="D6" s="74"/>
      <c r="E6" s="74"/>
      <c r="F6" s="74"/>
      <c r="G6" s="74"/>
      <c r="H6" s="74"/>
      <c r="I6" s="74"/>
      <c r="J6" s="74"/>
      <c r="K6" s="101"/>
      <c r="L6" s="74"/>
      <c r="M6" s="79"/>
      <c r="N6" s="116"/>
      <c r="O6" s="74"/>
      <c r="P6" s="74"/>
      <c r="Q6" s="74"/>
      <c r="R6" s="74"/>
      <c r="S6" s="74"/>
      <c r="T6" s="74"/>
      <c r="U6" s="74"/>
      <c r="V6" s="74"/>
      <c r="W6" s="80"/>
    </row>
    <row r="7" spans="1:23" x14ac:dyDescent="0.3">
      <c r="A7" s="100"/>
      <c r="B7" s="74"/>
      <c r="C7" s="74"/>
      <c r="D7" s="74"/>
      <c r="E7" s="74"/>
      <c r="F7" s="74"/>
      <c r="G7" s="74"/>
      <c r="H7" s="74"/>
      <c r="I7" s="74"/>
      <c r="J7" s="74"/>
      <c r="K7" s="101"/>
      <c r="L7" s="74"/>
      <c r="M7" s="79"/>
      <c r="N7" s="116"/>
      <c r="O7" s="74"/>
      <c r="P7" s="74"/>
      <c r="Q7" s="74"/>
      <c r="R7" s="74"/>
      <c r="S7" s="74"/>
      <c r="T7" s="74"/>
      <c r="U7" s="74"/>
      <c r="V7" s="74"/>
      <c r="W7" s="80"/>
    </row>
    <row r="8" spans="1:23" x14ac:dyDescent="0.3">
      <c r="A8" s="100"/>
      <c r="B8" s="74"/>
      <c r="C8" s="74"/>
      <c r="D8" s="74"/>
      <c r="E8" s="74"/>
      <c r="F8" s="74"/>
      <c r="G8" s="74"/>
      <c r="H8" s="74"/>
      <c r="I8" s="74"/>
      <c r="J8" s="74"/>
      <c r="K8" s="101"/>
      <c r="L8" s="74"/>
      <c r="M8" s="79"/>
      <c r="N8" s="116"/>
      <c r="O8" s="74"/>
      <c r="P8" s="74"/>
      <c r="Q8" s="74"/>
      <c r="R8" s="74"/>
      <c r="S8" s="74"/>
      <c r="T8" s="74"/>
      <c r="U8" s="74"/>
      <c r="V8" s="74"/>
      <c r="W8" s="80"/>
    </row>
    <row r="9" spans="1:23" x14ac:dyDescent="0.3">
      <c r="A9" s="100"/>
      <c r="B9" s="74"/>
      <c r="C9" s="74"/>
      <c r="D9" s="74"/>
      <c r="E9" s="74"/>
      <c r="F9" s="74"/>
      <c r="G9" s="74"/>
      <c r="H9" s="74"/>
      <c r="I9" s="74"/>
      <c r="J9" s="74"/>
      <c r="K9" s="101"/>
      <c r="L9" s="74"/>
      <c r="M9" s="79"/>
      <c r="N9" s="116"/>
      <c r="O9" s="74"/>
      <c r="P9" s="74"/>
      <c r="Q9" s="74"/>
      <c r="R9" s="74"/>
      <c r="S9" s="74"/>
      <c r="T9" s="74"/>
      <c r="U9" s="74"/>
      <c r="V9" s="74"/>
      <c r="W9" s="80"/>
    </row>
    <row r="10" spans="1:23" ht="15.6" x14ac:dyDescent="0.3">
      <c r="A10" s="100"/>
      <c r="B10" s="5" t="s">
        <v>1109</v>
      </c>
      <c r="C10" s="54"/>
      <c r="D10" s="54"/>
      <c r="E10" s="54"/>
      <c r="F10" s="54"/>
      <c r="G10" s="54"/>
      <c r="H10" s="54"/>
      <c r="I10" s="54"/>
      <c r="J10" s="54"/>
      <c r="K10" s="101"/>
      <c r="L10" s="74"/>
      <c r="M10" s="79"/>
      <c r="N10" s="116"/>
      <c r="O10" s="74"/>
      <c r="P10" s="74"/>
      <c r="Q10" s="74"/>
      <c r="R10" s="74"/>
      <c r="S10" s="74"/>
      <c r="T10" s="74"/>
      <c r="U10" s="74"/>
      <c r="V10" s="74"/>
      <c r="W10" s="80"/>
    </row>
    <row r="11" spans="1:23" x14ac:dyDescent="0.3">
      <c r="A11" s="100"/>
      <c r="B11" s="116"/>
      <c r="C11" s="74"/>
      <c r="D11" s="74"/>
      <c r="E11" s="74"/>
      <c r="F11" s="74"/>
      <c r="G11" s="74"/>
      <c r="H11" s="74"/>
      <c r="I11" s="74"/>
      <c r="J11" s="74"/>
      <c r="K11" s="101"/>
      <c r="L11" s="74"/>
      <c r="M11" s="79"/>
      <c r="N11" s="116"/>
      <c r="O11" s="74"/>
      <c r="P11" s="74"/>
      <c r="Q11" s="74"/>
      <c r="R11" s="74"/>
      <c r="S11" s="74"/>
      <c r="T11" s="74"/>
      <c r="U11" s="74"/>
      <c r="V11" s="74"/>
      <c r="W11" s="80"/>
    </row>
    <row r="12" spans="1:23" x14ac:dyDescent="0.3">
      <c r="A12" s="100"/>
      <c r="B12" s="116"/>
      <c r="C12" s="74"/>
      <c r="D12" s="74"/>
      <c r="E12" s="74"/>
      <c r="F12" s="74"/>
      <c r="G12" s="74"/>
      <c r="H12" s="74"/>
      <c r="I12" s="74"/>
      <c r="J12" s="74"/>
      <c r="K12" s="101"/>
      <c r="L12" s="74"/>
      <c r="M12" s="79"/>
      <c r="N12" s="116"/>
      <c r="O12" s="74"/>
      <c r="P12" s="74"/>
      <c r="Q12" s="74"/>
      <c r="R12" s="74"/>
      <c r="S12" s="74"/>
      <c r="T12" s="74"/>
      <c r="U12" s="74"/>
      <c r="V12" s="74"/>
      <c r="W12" s="80"/>
    </row>
    <row r="13" spans="1:23" x14ac:dyDescent="0.3">
      <c r="A13" s="100"/>
      <c r="B13" s="116"/>
      <c r="C13" s="74"/>
      <c r="D13" s="74"/>
      <c r="E13" s="74"/>
      <c r="F13" s="74"/>
      <c r="G13" s="74"/>
      <c r="H13" s="74"/>
      <c r="I13" s="74"/>
      <c r="J13" s="74"/>
      <c r="K13" s="101"/>
      <c r="L13" s="74"/>
      <c r="M13" s="79"/>
      <c r="N13" s="116"/>
      <c r="O13" s="74"/>
      <c r="P13" s="74"/>
      <c r="Q13" s="74"/>
      <c r="R13" s="74"/>
      <c r="S13" s="74"/>
      <c r="T13" s="74"/>
      <c r="U13" s="74"/>
      <c r="V13" s="74"/>
      <c r="W13" s="80"/>
    </row>
    <row r="14" spans="1:23" x14ac:dyDescent="0.3">
      <c r="A14" s="100"/>
      <c r="B14" s="116"/>
      <c r="C14" s="45">
        <v>44301.566828703704</v>
      </c>
      <c r="D14" s="74"/>
      <c r="E14" s="74"/>
      <c r="F14" s="74"/>
      <c r="G14" s="74"/>
      <c r="H14" s="74"/>
      <c r="I14" s="74"/>
      <c r="J14" s="74"/>
      <c r="K14" s="101"/>
      <c r="L14" s="74"/>
      <c r="M14" s="79"/>
      <c r="N14" s="116"/>
      <c r="O14" s="74"/>
      <c r="P14" s="74"/>
      <c r="Q14" s="74"/>
      <c r="R14" s="74"/>
      <c r="S14" s="74"/>
      <c r="T14" s="74"/>
      <c r="U14" s="74"/>
      <c r="V14" s="74"/>
      <c r="W14" s="80"/>
    </row>
    <row r="15" spans="1:23" x14ac:dyDescent="0.3">
      <c r="A15" s="100"/>
      <c r="B15" s="116"/>
      <c r="C15" s="74"/>
      <c r="D15" s="74"/>
      <c r="E15" s="74"/>
      <c r="F15" s="74"/>
      <c r="G15" s="74"/>
      <c r="H15" s="74"/>
      <c r="I15" s="74"/>
      <c r="J15" s="74"/>
      <c r="K15" s="101"/>
      <c r="L15" s="74"/>
      <c r="M15" s="79"/>
      <c r="N15" s="118" t="s">
        <v>1110</v>
      </c>
      <c r="O15" s="105" t="s">
        <v>1111</v>
      </c>
      <c r="P15" s="105" t="s">
        <v>1112</v>
      </c>
      <c r="Q15" s="105" t="s">
        <v>1113</v>
      </c>
      <c r="R15" s="105" t="s">
        <v>1114</v>
      </c>
      <c r="S15" s="105" t="s">
        <v>1115</v>
      </c>
      <c r="T15" s="105" t="s">
        <v>1116</v>
      </c>
      <c r="U15" s="105" t="s">
        <v>1117</v>
      </c>
      <c r="V15" s="105" t="s">
        <v>1118</v>
      </c>
      <c r="W15" s="80"/>
    </row>
    <row r="16" spans="1:23" ht="15.6" x14ac:dyDescent="0.3">
      <c r="A16" s="100"/>
      <c r="B16" s="116"/>
      <c r="C16" s="74"/>
      <c r="D16" s="74"/>
      <c r="E16" s="74"/>
      <c r="F16" s="74"/>
      <c r="G16" s="74"/>
      <c r="H16" s="74"/>
      <c r="I16" s="74"/>
      <c r="J16" s="74"/>
      <c r="K16" s="101"/>
      <c r="L16" s="74"/>
      <c r="M16" s="79"/>
      <c r="N16" s="119" t="s">
        <v>0</v>
      </c>
      <c r="O16" s="59" t="s">
        <v>1</v>
      </c>
      <c r="P16" s="59" t="s">
        <v>2</v>
      </c>
      <c r="Q16" s="60" t="s">
        <v>3</v>
      </c>
      <c r="R16" s="60" t="s">
        <v>4</v>
      </c>
      <c r="S16" s="60" t="s">
        <v>5</v>
      </c>
      <c r="T16" s="61" t="s">
        <v>6</v>
      </c>
      <c r="U16" s="60" t="s">
        <v>7</v>
      </c>
      <c r="V16" s="62" t="s">
        <v>8</v>
      </c>
      <c r="W16" s="80"/>
    </row>
    <row r="17" spans="1:23" x14ac:dyDescent="0.3">
      <c r="A17" s="100"/>
      <c r="B17" s="116"/>
      <c r="C17" s="74"/>
      <c r="D17" s="74"/>
      <c r="E17" s="74"/>
      <c r="F17" s="74"/>
      <c r="G17" s="74"/>
      <c r="H17" s="74"/>
      <c r="I17" s="74"/>
      <c r="J17" s="74"/>
      <c r="K17" s="101"/>
      <c r="L17" s="74"/>
      <c r="M17" s="79"/>
      <c r="N17" s="116"/>
      <c r="O17" s="74"/>
      <c r="P17" s="74"/>
      <c r="Q17" s="74"/>
      <c r="R17" s="74"/>
      <c r="S17" s="74"/>
      <c r="T17" s="74"/>
      <c r="U17" s="74"/>
      <c r="V17" s="74"/>
      <c r="W17" s="80"/>
    </row>
    <row r="18" spans="1:23" ht="15.6" x14ac:dyDescent="0.3">
      <c r="A18" s="100"/>
      <c r="B18" s="117"/>
      <c r="C18" s="55"/>
      <c r="D18" s="56"/>
      <c r="E18" s="57"/>
      <c r="F18" s="55"/>
      <c r="G18" s="56"/>
      <c r="H18" s="57"/>
      <c r="I18" s="55"/>
      <c r="J18" s="58"/>
      <c r="K18" s="101"/>
      <c r="L18" s="74"/>
      <c r="M18" s="79"/>
      <c r="N18" s="121"/>
      <c r="O18" s="3"/>
      <c r="P18" s="3"/>
      <c r="Q18" s="3"/>
      <c r="R18" s="3"/>
      <c r="S18" s="3"/>
      <c r="T18" s="3"/>
      <c r="U18" s="3"/>
      <c r="V18" s="3"/>
      <c r="W18" s="80"/>
    </row>
    <row r="19" spans="1:23" x14ac:dyDescent="0.3">
      <c r="A19" s="100"/>
      <c r="B19" s="116"/>
      <c r="C19" s="74"/>
      <c r="D19" s="74"/>
      <c r="E19" s="74"/>
      <c r="F19" s="74"/>
      <c r="G19" s="74"/>
      <c r="H19" s="74"/>
      <c r="I19" s="74"/>
      <c r="J19" s="74"/>
      <c r="K19" s="101"/>
      <c r="L19" s="74"/>
      <c r="M19" s="79"/>
      <c r="N19" s="118" t="s">
        <v>1110</v>
      </c>
      <c r="O19" s="105" t="s">
        <v>1111</v>
      </c>
      <c r="P19" s="105" t="s">
        <v>1112</v>
      </c>
      <c r="Q19" s="105" t="s">
        <v>1113</v>
      </c>
      <c r="R19" s="105" t="s">
        <v>1114</v>
      </c>
      <c r="S19" s="105" t="s">
        <v>1115</v>
      </c>
      <c r="T19" s="105" t="s">
        <v>1116</v>
      </c>
      <c r="U19" s="105" t="s">
        <v>1117</v>
      </c>
      <c r="V19" s="105" t="s">
        <v>1118</v>
      </c>
      <c r="W19" s="80"/>
    </row>
    <row r="20" spans="1:23" x14ac:dyDescent="0.3">
      <c r="A20" s="100"/>
      <c r="B20" s="116"/>
      <c r="C20" s="74"/>
      <c r="D20" s="74"/>
      <c r="E20" s="74"/>
      <c r="F20" s="74"/>
      <c r="G20" s="74"/>
      <c r="H20" s="74"/>
      <c r="I20" s="74"/>
      <c r="J20" s="74"/>
      <c r="K20" s="101"/>
      <c r="L20" s="74"/>
      <c r="M20" s="79"/>
      <c r="N20" s="144">
        <v>44301.566666666666</v>
      </c>
      <c r="O20" s="84" t="s">
        <v>10</v>
      </c>
      <c r="P20" s="84" t="s">
        <v>1093</v>
      </c>
      <c r="Q20" s="85">
        <v>-10</v>
      </c>
      <c r="R20" s="86">
        <v>1</v>
      </c>
      <c r="S20" s="87">
        <f>IFERROR(SUM(Q20-R20),"0")</f>
        <v>-11</v>
      </c>
      <c r="T20" s="39">
        <f>IFERROR(SUM(S20/U20), "-")</f>
        <v>-11</v>
      </c>
      <c r="U20" s="87">
        <v>1</v>
      </c>
      <c r="V20" s="138"/>
      <c r="W20" s="80"/>
    </row>
    <row r="21" spans="1:23" x14ac:dyDescent="0.3">
      <c r="A21" s="100"/>
      <c r="B21" s="116"/>
      <c r="C21" s="74"/>
      <c r="D21" s="74"/>
      <c r="E21" s="74"/>
      <c r="F21" s="74"/>
      <c r="G21" s="74"/>
      <c r="H21" s="74"/>
      <c r="I21" s="74"/>
      <c r="J21" s="74"/>
      <c r="K21" s="101"/>
      <c r="L21" s="74"/>
      <c r="M21" s="79"/>
      <c r="N21" s="143">
        <v>44301.567361111112</v>
      </c>
      <c r="O21" s="89" t="s">
        <v>11</v>
      </c>
      <c r="P21" s="89" t="s">
        <v>44</v>
      </c>
      <c r="Q21" s="90">
        <v>10</v>
      </c>
      <c r="R21" s="91">
        <v>0</v>
      </c>
      <c r="S21" s="138">
        <f>IFERROR(SUM(Q21-R21),"0")</f>
        <v>10</v>
      </c>
      <c r="T21" s="138">
        <f>IFERROR(SUM(S21/U21), "-")</f>
        <v>3.3333333333333332E-4</v>
      </c>
      <c r="U21" s="92">
        <v>30000</v>
      </c>
      <c r="V21" s="93">
        <v>-0.88</v>
      </c>
      <c r="W21" s="80"/>
    </row>
    <row r="22" spans="1:23" x14ac:dyDescent="0.3">
      <c r="A22" s="100"/>
      <c r="B22" s="116"/>
      <c r="C22" s="74"/>
      <c r="D22" s="74"/>
      <c r="E22" s="74"/>
      <c r="F22" s="74"/>
      <c r="G22" s="74"/>
      <c r="H22" s="74"/>
      <c r="I22" s="74"/>
      <c r="J22" s="74"/>
      <c r="K22" s="101"/>
      <c r="L22" s="74"/>
      <c r="M22" s="79"/>
      <c r="N22" s="116"/>
      <c r="O22" s="75"/>
      <c r="P22" s="74"/>
      <c r="Q22" s="74"/>
      <c r="R22" s="74"/>
      <c r="S22" s="74"/>
      <c r="T22" s="74"/>
      <c r="U22" s="74"/>
      <c r="V22" s="74"/>
      <c r="W22" s="80"/>
    </row>
    <row r="23" spans="1:23" ht="15.6" x14ac:dyDescent="0.3">
      <c r="A23" s="100"/>
      <c r="B23" s="116"/>
      <c r="C23" s="74"/>
      <c r="D23" s="74"/>
      <c r="E23" s="74"/>
      <c r="F23" s="74"/>
      <c r="G23" s="74"/>
      <c r="H23" s="74"/>
      <c r="I23" s="74"/>
      <c r="J23" s="74"/>
      <c r="K23" s="101"/>
      <c r="L23" s="74"/>
      <c r="M23" s="79"/>
      <c r="N23" s="122"/>
      <c r="O23" s="63"/>
      <c r="P23" s="63"/>
      <c r="Q23" s="64"/>
      <c r="R23" s="64"/>
      <c r="S23" s="64"/>
      <c r="T23" s="65"/>
      <c r="U23" s="64"/>
      <c r="V23" s="64"/>
      <c r="W23" s="80"/>
    </row>
    <row r="24" spans="1:23" x14ac:dyDescent="0.3">
      <c r="A24" s="100"/>
      <c r="B24" s="118" t="s">
        <v>1110</v>
      </c>
      <c r="C24" s="105" t="s">
        <v>1111</v>
      </c>
      <c r="D24" s="105" t="s">
        <v>1112</v>
      </c>
      <c r="E24" s="105" t="s">
        <v>1113</v>
      </c>
      <c r="F24" s="105" t="s">
        <v>1114</v>
      </c>
      <c r="G24" s="105" t="s">
        <v>1115</v>
      </c>
      <c r="H24" s="105" t="s">
        <v>1116</v>
      </c>
      <c r="I24" s="105" t="s">
        <v>1117</v>
      </c>
      <c r="J24" s="105" t="s">
        <v>1118</v>
      </c>
      <c r="K24" s="101"/>
      <c r="L24" s="74"/>
      <c r="M24" s="79"/>
      <c r="N24" s="118" t="s">
        <v>1110</v>
      </c>
      <c r="O24" s="105" t="s">
        <v>1111</v>
      </c>
      <c r="P24" s="105" t="s">
        <v>1112</v>
      </c>
      <c r="Q24" s="105" t="s">
        <v>1113</v>
      </c>
      <c r="R24" s="105" t="s">
        <v>1114</v>
      </c>
      <c r="S24" s="105" t="s">
        <v>1115</v>
      </c>
      <c r="T24" s="105" t="s">
        <v>1116</v>
      </c>
      <c r="U24" s="105" t="s">
        <v>1117</v>
      </c>
      <c r="V24" s="105" t="s">
        <v>1118</v>
      </c>
      <c r="W24" s="80"/>
    </row>
    <row r="25" spans="1:23" ht="15.6" x14ac:dyDescent="0.3">
      <c r="A25" s="100"/>
      <c r="B25" s="119" t="s">
        <v>0</v>
      </c>
      <c r="C25" s="59" t="s">
        <v>1</v>
      </c>
      <c r="D25" s="59" t="s">
        <v>2</v>
      </c>
      <c r="E25" s="60" t="s">
        <v>3</v>
      </c>
      <c r="F25" s="60" t="s">
        <v>4</v>
      </c>
      <c r="G25" s="60" t="s">
        <v>5</v>
      </c>
      <c r="H25" s="61" t="s">
        <v>6</v>
      </c>
      <c r="I25" s="60" t="s">
        <v>7</v>
      </c>
      <c r="J25" s="62" t="s">
        <v>8</v>
      </c>
      <c r="K25" s="101"/>
      <c r="L25" s="74"/>
      <c r="M25" s="79"/>
      <c r="N25" s="144">
        <v>44301.566828703704</v>
      </c>
      <c r="O25" s="84" t="s">
        <v>10</v>
      </c>
      <c r="P25" s="84" t="s">
        <v>44</v>
      </c>
      <c r="Q25" s="85">
        <v>-10</v>
      </c>
      <c r="R25" s="86">
        <v>1</v>
      </c>
      <c r="S25" s="87">
        <f>IFERROR(SUM(Q25-R25),"0")</f>
        <v>-11</v>
      </c>
      <c r="T25" s="39">
        <f>IFERROR(SUM(S25/U25), "-")</f>
        <v>-11</v>
      </c>
      <c r="U25" s="87">
        <v>1</v>
      </c>
      <c r="V25" s="88">
        <v>-0.88</v>
      </c>
      <c r="W25" s="80"/>
    </row>
    <row r="26" spans="1:23" x14ac:dyDescent="0.3">
      <c r="A26" s="100"/>
      <c r="B26" s="116"/>
      <c r="C26" s="74"/>
      <c r="D26" s="74"/>
      <c r="E26" s="74"/>
      <c r="F26" s="74"/>
      <c r="G26" s="74"/>
      <c r="H26" s="74"/>
      <c r="I26" s="74"/>
      <c r="J26" s="74"/>
      <c r="K26" s="101"/>
      <c r="L26" s="74"/>
      <c r="M26" s="79"/>
      <c r="N26" s="143">
        <v>44301.56753472222</v>
      </c>
      <c r="O26" s="89" t="s">
        <v>11</v>
      </c>
      <c r="P26" s="89" t="s">
        <v>1093</v>
      </c>
      <c r="Q26" s="90">
        <v>9</v>
      </c>
      <c r="R26" s="91">
        <v>0</v>
      </c>
      <c r="S26" s="138">
        <f>IFERROR(SUM(Q26-R26),"0")</f>
        <v>9</v>
      </c>
      <c r="T26" s="138">
        <f>IFERROR(SUM(S26/U26), "-")</f>
        <v>2.9999999999999997E-4</v>
      </c>
      <c r="U26" s="92">
        <v>30000</v>
      </c>
      <c r="V26" s="138"/>
      <c r="W26" s="80"/>
    </row>
    <row r="27" spans="1:23" x14ac:dyDescent="0.3">
      <c r="A27" s="100"/>
      <c r="B27" s="116"/>
      <c r="C27" s="74"/>
      <c r="D27" s="74"/>
      <c r="E27" s="74"/>
      <c r="F27" s="74"/>
      <c r="G27" s="74"/>
      <c r="H27" s="74"/>
      <c r="I27" s="74"/>
      <c r="J27" s="74"/>
      <c r="K27" s="101"/>
      <c r="L27" s="74"/>
      <c r="M27" s="79"/>
      <c r="N27" s="121"/>
      <c r="O27" s="75"/>
      <c r="P27" s="74"/>
      <c r="Q27" s="74"/>
      <c r="R27" s="74"/>
      <c r="S27" s="74"/>
      <c r="T27" s="74"/>
      <c r="U27" s="74"/>
      <c r="V27" s="74"/>
      <c r="W27" s="80"/>
    </row>
    <row r="28" spans="1:23" x14ac:dyDescent="0.3">
      <c r="A28" s="100"/>
      <c r="B28" s="116"/>
      <c r="C28" s="74"/>
      <c r="D28" s="74"/>
      <c r="E28" s="74"/>
      <c r="F28" s="74"/>
      <c r="G28" s="74"/>
      <c r="H28" s="74"/>
      <c r="I28" s="74"/>
      <c r="J28" s="74"/>
      <c r="K28" s="101"/>
      <c r="L28" s="74"/>
      <c r="M28" s="79"/>
      <c r="N28" s="121"/>
      <c r="O28" s="3"/>
      <c r="P28" s="3"/>
      <c r="Q28" s="3"/>
      <c r="R28" s="3"/>
      <c r="S28" s="3"/>
      <c r="T28" s="3"/>
      <c r="U28" s="3"/>
      <c r="V28" s="3"/>
      <c r="W28" s="80"/>
    </row>
    <row r="29" spans="1:23" x14ac:dyDescent="0.3">
      <c r="A29" s="100"/>
      <c r="B29" s="116"/>
      <c r="C29" s="74"/>
      <c r="D29" s="74"/>
      <c r="E29" s="74"/>
      <c r="F29" s="74"/>
      <c r="G29" s="74"/>
      <c r="H29" s="74"/>
      <c r="I29" s="74"/>
      <c r="J29" s="74"/>
      <c r="K29" s="101"/>
      <c r="L29" s="74"/>
      <c r="M29" s="79"/>
      <c r="N29" s="118" t="s">
        <v>1110</v>
      </c>
      <c r="O29" s="105" t="s">
        <v>1111</v>
      </c>
      <c r="P29" s="105" t="s">
        <v>1112</v>
      </c>
      <c r="Q29" s="105" t="s">
        <v>1113</v>
      </c>
      <c r="R29" s="105" t="s">
        <v>1114</v>
      </c>
      <c r="S29" s="105" t="s">
        <v>1115</v>
      </c>
      <c r="T29" s="105" t="s">
        <v>1116</v>
      </c>
      <c r="U29" s="105" t="s">
        <v>1117</v>
      </c>
      <c r="V29" s="105" t="s">
        <v>1118</v>
      </c>
      <c r="W29" s="80"/>
    </row>
    <row r="30" spans="1:23" x14ac:dyDescent="0.3">
      <c r="A30" s="100"/>
      <c r="B30" s="116"/>
      <c r="C30" s="74"/>
      <c r="D30" s="74"/>
      <c r="E30" s="74"/>
      <c r="F30" s="74"/>
      <c r="G30" s="74"/>
      <c r="H30" s="74"/>
      <c r="I30" s="74"/>
      <c r="J30" s="74"/>
      <c r="K30" s="101"/>
      <c r="L30" s="74"/>
      <c r="M30" s="79"/>
      <c r="N30" s="144">
        <v>44301.566828703704</v>
      </c>
      <c r="O30" s="84" t="s">
        <v>10</v>
      </c>
      <c r="P30" s="84" t="s">
        <v>44</v>
      </c>
      <c r="Q30" s="85">
        <v>-10</v>
      </c>
      <c r="R30" s="86">
        <v>0</v>
      </c>
      <c r="S30" s="87">
        <f>IFERROR(SUM(Q30-R30),"0")</f>
        <v>-10</v>
      </c>
      <c r="T30" s="39">
        <f>IFERROR(SUM(S30/U30), "-")</f>
        <v>-5.0000000000000001E-3</v>
      </c>
      <c r="U30" s="87">
        <v>2000</v>
      </c>
      <c r="V30" s="138"/>
      <c r="W30" s="80"/>
    </row>
    <row r="31" spans="1:23" x14ac:dyDescent="0.3">
      <c r="A31" s="100"/>
      <c r="B31" s="118" t="s">
        <v>1110</v>
      </c>
      <c r="C31" s="105" t="s">
        <v>1111</v>
      </c>
      <c r="D31" s="105" t="s">
        <v>1112</v>
      </c>
      <c r="E31" s="105" t="s">
        <v>1113</v>
      </c>
      <c r="F31" s="105" t="s">
        <v>1114</v>
      </c>
      <c r="G31" s="105" t="s">
        <v>1115</v>
      </c>
      <c r="H31" s="105" t="s">
        <v>1116</v>
      </c>
      <c r="I31" s="105" t="s">
        <v>1117</v>
      </c>
      <c r="J31" s="105" t="s">
        <v>1118</v>
      </c>
      <c r="K31" s="101"/>
      <c r="L31" s="74"/>
      <c r="M31" s="79"/>
      <c r="N31" s="143">
        <v>44301.56753472222</v>
      </c>
      <c r="O31" s="89" t="s">
        <v>11</v>
      </c>
      <c r="P31" s="89" t="s">
        <v>50</v>
      </c>
      <c r="Q31" s="90">
        <v>10</v>
      </c>
      <c r="R31" s="91">
        <v>0</v>
      </c>
      <c r="S31" s="138">
        <f>IFERROR(SUM(Q31-R31),"0")</f>
        <v>10</v>
      </c>
      <c r="T31" s="138">
        <f>IFERROR(SUM(S31/U31), "-")</f>
        <v>3.3333333333333332E-4</v>
      </c>
      <c r="U31" s="92">
        <v>30000</v>
      </c>
      <c r="V31" s="93">
        <v>-0.88</v>
      </c>
      <c r="W31" s="80"/>
    </row>
    <row r="32" spans="1:23" x14ac:dyDescent="0.3">
      <c r="A32" s="100"/>
      <c r="B32" s="145">
        <v>44301.566817129627</v>
      </c>
      <c r="C32" s="66"/>
      <c r="D32" s="66"/>
      <c r="E32" s="67"/>
      <c r="F32" s="50"/>
      <c r="G32" s="138">
        <f>IFERROR(SUM(E32-F32),"0")</f>
        <v>0</v>
      </c>
      <c r="H32" s="139" t="str">
        <f>IFERROR(SUM(G32/I32),"-")</f>
        <v>-</v>
      </c>
      <c r="I32" s="137"/>
      <c r="J32" s="140"/>
      <c r="K32" s="101"/>
      <c r="L32" s="74"/>
      <c r="M32" s="79"/>
      <c r="N32" s="121"/>
      <c r="O32" s="75"/>
      <c r="P32" s="74"/>
      <c r="Q32" s="74"/>
      <c r="R32" s="74"/>
      <c r="S32" s="74"/>
      <c r="T32" s="74"/>
      <c r="U32" s="74"/>
      <c r="V32" s="74"/>
      <c r="W32" s="80"/>
    </row>
    <row r="33" spans="1:23" x14ac:dyDescent="0.3">
      <c r="A33" s="100"/>
      <c r="B33" s="145">
        <v>44301.566817129627</v>
      </c>
      <c r="C33" s="66"/>
      <c r="D33" s="66"/>
      <c r="E33" s="67"/>
      <c r="F33" s="50"/>
      <c r="G33" s="138">
        <f>IFERROR(SUM(E33-F33),"0")</f>
        <v>0</v>
      </c>
      <c r="H33" s="139" t="str">
        <f>IFERROR(SUM(G33/I33),"-")</f>
        <v>-</v>
      </c>
      <c r="I33" s="137"/>
      <c r="J33" s="140"/>
      <c r="K33" s="101"/>
      <c r="L33" s="74"/>
      <c r="M33" s="79"/>
      <c r="N33" s="116"/>
      <c r="O33" s="74"/>
      <c r="P33" s="74"/>
      <c r="Q33" s="74"/>
      <c r="R33" s="74"/>
      <c r="S33" s="74"/>
      <c r="T33" s="74"/>
      <c r="U33" s="74"/>
      <c r="V33" s="74"/>
      <c r="W33" s="80"/>
    </row>
    <row r="34" spans="1:23" x14ac:dyDescent="0.3">
      <c r="A34" s="100"/>
      <c r="B34" s="116"/>
      <c r="C34" s="74"/>
      <c r="D34" s="74"/>
      <c r="E34" s="74"/>
      <c r="F34" s="74"/>
      <c r="G34" s="74"/>
      <c r="H34" s="74"/>
      <c r="I34" s="74"/>
      <c r="J34" s="74"/>
      <c r="K34" s="101"/>
      <c r="L34" s="74"/>
      <c r="M34" s="79"/>
      <c r="N34" s="116"/>
      <c r="O34" s="74"/>
      <c r="P34" s="74"/>
      <c r="Q34" s="74"/>
      <c r="R34" s="74"/>
      <c r="S34" s="74"/>
      <c r="T34" s="74"/>
      <c r="U34" s="74"/>
      <c r="V34" s="74"/>
      <c r="W34" s="80"/>
    </row>
    <row r="35" spans="1:23" x14ac:dyDescent="0.3">
      <c r="A35" s="100"/>
      <c r="B35" s="116"/>
      <c r="C35" s="74"/>
      <c r="D35" s="74"/>
      <c r="E35" s="74"/>
      <c r="F35" s="74"/>
      <c r="G35" s="74"/>
      <c r="H35" s="74"/>
      <c r="I35" s="74"/>
      <c r="J35" s="74"/>
      <c r="K35" s="101"/>
      <c r="L35" s="74"/>
      <c r="M35" s="79"/>
      <c r="N35" s="116"/>
      <c r="O35" s="74"/>
      <c r="P35" s="74"/>
      <c r="Q35" s="74"/>
      <c r="R35" s="74"/>
      <c r="S35" s="74"/>
      <c r="T35" s="74"/>
      <c r="U35" s="74"/>
      <c r="V35" s="74"/>
      <c r="W35" s="80"/>
    </row>
    <row r="36" spans="1:23" x14ac:dyDescent="0.3">
      <c r="A36" s="100"/>
      <c r="B36" s="116"/>
      <c r="C36" s="74"/>
      <c r="D36" s="74"/>
      <c r="E36" s="74"/>
      <c r="F36" s="74"/>
      <c r="G36" s="74"/>
      <c r="H36" s="74"/>
      <c r="I36" s="74"/>
      <c r="J36" s="74"/>
      <c r="K36" s="101"/>
      <c r="L36" s="74"/>
      <c r="M36" s="79"/>
      <c r="N36" s="116"/>
      <c r="O36" s="74"/>
      <c r="P36" s="74"/>
      <c r="Q36" s="74"/>
      <c r="R36" s="74"/>
      <c r="S36" s="74"/>
      <c r="T36" s="74"/>
      <c r="U36" s="74"/>
      <c r="V36" s="74"/>
      <c r="W36" s="80"/>
    </row>
    <row r="37" spans="1:23" x14ac:dyDescent="0.3">
      <c r="A37" s="100"/>
      <c r="B37" s="116"/>
      <c r="C37" s="74"/>
      <c r="D37" s="74"/>
      <c r="E37" s="74"/>
      <c r="F37" s="74"/>
      <c r="G37" s="74"/>
      <c r="H37" s="74"/>
      <c r="I37" s="74"/>
      <c r="J37" s="74"/>
      <c r="K37" s="101"/>
      <c r="L37" s="74"/>
      <c r="M37" s="79"/>
      <c r="N37" s="116"/>
      <c r="O37" s="74"/>
      <c r="P37" s="74"/>
      <c r="Q37" s="74"/>
      <c r="R37" s="74"/>
      <c r="S37" s="74"/>
      <c r="T37" s="74"/>
      <c r="U37" s="74"/>
      <c r="V37" s="74"/>
      <c r="W37" s="80"/>
    </row>
    <row r="38" spans="1:23" x14ac:dyDescent="0.3">
      <c r="A38" s="100"/>
      <c r="B38" s="116"/>
      <c r="C38" s="74"/>
      <c r="D38" s="74"/>
      <c r="E38" s="74"/>
      <c r="F38" s="74"/>
      <c r="G38" s="74"/>
      <c r="H38" s="74"/>
      <c r="I38" s="74"/>
      <c r="J38" s="74"/>
      <c r="K38" s="101"/>
      <c r="L38" s="74"/>
      <c r="M38" s="79"/>
      <c r="N38" s="116"/>
      <c r="O38" s="74"/>
      <c r="P38" s="74"/>
      <c r="Q38" s="74"/>
      <c r="R38" s="74"/>
      <c r="S38" s="74"/>
      <c r="T38" s="74"/>
      <c r="U38" s="74"/>
      <c r="V38" s="74"/>
      <c r="W38" s="80"/>
    </row>
    <row r="39" spans="1:23" x14ac:dyDescent="0.3">
      <c r="A39" s="100"/>
      <c r="B39" s="118" t="s">
        <v>1110</v>
      </c>
      <c r="C39" s="105" t="s">
        <v>1111</v>
      </c>
      <c r="D39" s="105" t="s">
        <v>1112</v>
      </c>
      <c r="E39" s="105" t="s">
        <v>1113</v>
      </c>
      <c r="F39" s="105" t="s">
        <v>1114</v>
      </c>
      <c r="G39" s="105" t="s">
        <v>1115</v>
      </c>
      <c r="H39" s="105" t="s">
        <v>1116</v>
      </c>
      <c r="I39" s="105" t="s">
        <v>1117</v>
      </c>
      <c r="J39" s="105" t="s">
        <v>1118</v>
      </c>
      <c r="K39" s="101"/>
      <c r="L39" s="74"/>
      <c r="M39" s="79"/>
      <c r="N39" s="116"/>
      <c r="O39" s="74"/>
      <c r="P39" s="74"/>
      <c r="Q39" s="74"/>
      <c r="R39" s="74"/>
      <c r="S39" s="74"/>
      <c r="T39" s="74"/>
      <c r="U39" s="74"/>
      <c r="V39" s="74"/>
      <c r="W39" s="80"/>
    </row>
    <row r="40" spans="1:23" x14ac:dyDescent="0.3">
      <c r="A40" s="100"/>
      <c r="B40" s="145">
        <v>44301.566817129627</v>
      </c>
      <c r="C40" s="66"/>
      <c r="D40" s="66"/>
      <c r="E40" s="67"/>
      <c r="F40" s="50"/>
      <c r="G40" s="138">
        <f>IFERROR(SUM(E40-F40),"0")</f>
        <v>0</v>
      </c>
      <c r="H40" s="139" t="str">
        <f>IFERROR(SUM(G40/I40),"-")</f>
        <v>-</v>
      </c>
      <c r="I40" s="137"/>
      <c r="J40" s="140"/>
      <c r="K40" s="101"/>
      <c r="L40" s="74"/>
      <c r="M40" s="79"/>
      <c r="N40" s="116"/>
      <c r="O40" s="74"/>
      <c r="P40" s="74"/>
      <c r="Q40" s="74"/>
      <c r="R40" s="74"/>
      <c r="S40" s="74"/>
      <c r="T40" s="74"/>
      <c r="U40" s="74"/>
      <c r="V40" s="74"/>
      <c r="W40" s="80"/>
    </row>
    <row r="41" spans="1:23" x14ac:dyDescent="0.3">
      <c r="A41" s="100"/>
      <c r="B41" s="145">
        <v>44301.567511574074</v>
      </c>
      <c r="C41" s="66"/>
      <c r="D41" s="66"/>
      <c r="E41" s="67"/>
      <c r="F41" s="50"/>
      <c r="G41" s="51">
        <f>IFERROR(SUM(E41-F41),"0")</f>
        <v>0</v>
      </c>
      <c r="H41" s="52" t="str">
        <f>IFERROR(SUM(G41/I41),"-")</f>
        <v>-</v>
      </c>
      <c r="I41" s="51"/>
      <c r="J41" s="53"/>
      <c r="K41" s="101"/>
      <c r="L41" s="74"/>
      <c r="M41" s="94"/>
      <c r="N41" s="123"/>
      <c r="O41" s="95"/>
      <c r="P41" s="95"/>
      <c r="Q41" s="95"/>
      <c r="R41" s="95"/>
      <c r="S41" s="95"/>
      <c r="T41" s="95"/>
      <c r="U41" s="95"/>
      <c r="V41" s="95"/>
      <c r="W41" s="96"/>
    </row>
    <row r="42" spans="1:23" x14ac:dyDescent="0.3">
      <c r="A42" s="100"/>
      <c r="B42" s="116"/>
      <c r="C42" s="74"/>
      <c r="D42" s="74"/>
      <c r="E42" s="74"/>
      <c r="F42" s="74"/>
      <c r="G42" s="74"/>
      <c r="H42" s="74"/>
      <c r="I42" s="74"/>
      <c r="J42" s="74"/>
      <c r="K42" s="101"/>
      <c r="L42" s="74"/>
      <c r="M42" s="79"/>
      <c r="N42" s="116"/>
      <c r="O42" s="74"/>
      <c r="P42" s="74"/>
      <c r="Q42" s="74"/>
      <c r="R42" s="74"/>
      <c r="S42" s="74"/>
      <c r="T42" s="74"/>
      <c r="U42" s="74"/>
      <c r="V42" s="74"/>
      <c r="W42" s="80"/>
    </row>
    <row r="43" spans="1:23" x14ac:dyDescent="0.3">
      <c r="A43" s="100"/>
      <c r="B43" s="116"/>
      <c r="C43" s="74"/>
      <c r="D43" s="74"/>
      <c r="E43" s="74"/>
      <c r="F43" s="74"/>
      <c r="G43" s="74"/>
      <c r="H43" s="74"/>
      <c r="I43" s="74"/>
      <c r="J43" s="74"/>
      <c r="K43" s="101"/>
      <c r="L43" s="74"/>
      <c r="M43" s="79"/>
      <c r="N43" s="121"/>
      <c r="O43" s="3"/>
      <c r="P43" s="3"/>
      <c r="Q43" s="3"/>
      <c r="R43" s="3"/>
      <c r="S43" s="3"/>
      <c r="T43" s="3"/>
      <c r="U43" s="3"/>
      <c r="V43" s="3"/>
      <c r="W43" s="80"/>
    </row>
    <row r="44" spans="1:23" x14ac:dyDescent="0.3">
      <c r="A44" s="100"/>
      <c r="B44" s="118" t="s">
        <v>1110</v>
      </c>
      <c r="C44" s="105" t="s">
        <v>1111</v>
      </c>
      <c r="D44" s="105" t="s">
        <v>1112</v>
      </c>
      <c r="E44" s="105" t="s">
        <v>1113</v>
      </c>
      <c r="F44" s="105" t="s">
        <v>1114</v>
      </c>
      <c r="G44" s="105" t="s">
        <v>1115</v>
      </c>
      <c r="H44" s="105" t="s">
        <v>1116</v>
      </c>
      <c r="I44" s="105" t="s">
        <v>1117</v>
      </c>
      <c r="J44" s="105" t="s">
        <v>1118</v>
      </c>
      <c r="K44" s="101"/>
      <c r="L44" s="74"/>
      <c r="M44" s="79"/>
      <c r="N44" s="118" t="s">
        <v>1110</v>
      </c>
      <c r="O44" s="105" t="s">
        <v>1111</v>
      </c>
      <c r="P44" s="105" t="s">
        <v>1112</v>
      </c>
      <c r="Q44" s="105" t="s">
        <v>1113</v>
      </c>
      <c r="R44" s="105" t="s">
        <v>1114</v>
      </c>
      <c r="S44" s="105" t="s">
        <v>1115</v>
      </c>
      <c r="T44" s="105" t="s">
        <v>1116</v>
      </c>
      <c r="U44" s="105" t="s">
        <v>1117</v>
      </c>
      <c r="V44" s="105" t="s">
        <v>1118</v>
      </c>
      <c r="W44" s="80"/>
    </row>
    <row r="45" spans="1:23" x14ac:dyDescent="0.3">
      <c r="A45" s="100"/>
      <c r="B45" s="145">
        <v>44301.566817129627</v>
      </c>
      <c r="C45" s="66" t="s">
        <v>9</v>
      </c>
      <c r="D45" s="66"/>
      <c r="E45" s="67"/>
      <c r="F45" s="50"/>
      <c r="G45" s="138">
        <f>IFERROR(SUM(E45-F45),"0")</f>
        <v>0</v>
      </c>
      <c r="H45" s="139" t="str">
        <f>IFERROR(SUM(G45/I45),"-")</f>
        <v>-</v>
      </c>
      <c r="I45" s="137"/>
      <c r="J45" s="140"/>
      <c r="K45" s="101"/>
      <c r="L45" s="74"/>
      <c r="M45" s="79"/>
      <c r="N45" s="142">
        <v>44301.566828703704</v>
      </c>
      <c r="O45" s="72"/>
      <c r="P45" s="35"/>
      <c r="Q45" s="36"/>
      <c r="R45" s="37"/>
      <c r="S45" s="138">
        <f>IFERROR(SUM(Q45-R45),"0")</f>
        <v>0</v>
      </c>
      <c r="T45" s="138" t="str">
        <f>IFERROR(SUM(S45/U45), "-")</f>
        <v>-</v>
      </c>
      <c r="U45" s="38"/>
      <c r="V45" s="138"/>
      <c r="W45" s="80"/>
    </row>
    <row r="46" spans="1:23" x14ac:dyDescent="0.3">
      <c r="A46" s="100"/>
      <c r="B46" s="145">
        <v>44301.567511574074</v>
      </c>
      <c r="C46" s="66" t="s">
        <v>13</v>
      </c>
      <c r="D46" s="66"/>
      <c r="E46" s="67"/>
      <c r="F46" s="50"/>
      <c r="G46" s="138">
        <f>IFERROR(SUM(E46-F46),"0")</f>
        <v>0</v>
      </c>
      <c r="H46" s="139" t="str">
        <f>IFERROR(SUM(G46/I46),"-")</f>
        <v>-</v>
      </c>
      <c r="I46" s="137"/>
      <c r="J46" s="140"/>
      <c r="K46" s="101"/>
      <c r="L46" s="74"/>
      <c r="M46" s="79"/>
      <c r="N46" s="141">
        <v>44301.56753472222</v>
      </c>
      <c r="O46" s="73"/>
      <c r="P46" s="40"/>
      <c r="Q46" s="41"/>
      <c r="R46" s="42"/>
      <c r="S46" s="138">
        <f>IFERROR(SUM(Q46-R46),"0")</f>
        <v>0</v>
      </c>
      <c r="T46" s="138" t="str">
        <f>IFERROR(SUM(S46/U46), "-")</f>
        <v>-</v>
      </c>
      <c r="U46" s="43"/>
      <c r="V46" s="138"/>
      <c r="W46" s="80"/>
    </row>
    <row r="47" spans="1:23" x14ac:dyDescent="0.3">
      <c r="A47" s="100"/>
      <c r="B47" s="116"/>
      <c r="C47" s="74"/>
      <c r="D47" s="74"/>
      <c r="E47" s="74"/>
      <c r="F47" s="74"/>
      <c r="G47" s="74"/>
      <c r="H47" s="74"/>
      <c r="I47" s="74"/>
      <c r="J47" s="74"/>
      <c r="K47" s="101"/>
      <c r="L47" s="74"/>
      <c r="M47" s="79"/>
      <c r="N47" s="125"/>
      <c r="O47" s="74"/>
      <c r="P47" s="74"/>
      <c r="Q47" s="74"/>
      <c r="R47" s="74"/>
      <c r="S47" s="74"/>
      <c r="T47" s="74"/>
      <c r="U47" s="74"/>
      <c r="V47" s="74"/>
      <c r="W47" s="80"/>
    </row>
    <row r="48" spans="1:23" x14ac:dyDescent="0.3">
      <c r="A48" s="100"/>
      <c r="B48" s="116"/>
      <c r="C48" s="74"/>
      <c r="D48" s="74"/>
      <c r="E48" s="74"/>
      <c r="F48" s="74"/>
      <c r="G48" s="74"/>
      <c r="H48" s="74"/>
      <c r="I48" s="74"/>
      <c r="J48" s="74"/>
      <c r="K48" s="101"/>
      <c r="L48" s="74"/>
      <c r="M48" s="79"/>
      <c r="N48" s="121"/>
      <c r="O48" s="3"/>
      <c r="P48" s="3"/>
      <c r="Q48" s="3"/>
      <c r="R48" s="3"/>
      <c r="S48" s="3"/>
      <c r="T48" s="3"/>
      <c r="U48" s="3"/>
      <c r="V48" s="3"/>
      <c r="W48" s="80"/>
    </row>
    <row r="49" spans="1:23" x14ac:dyDescent="0.3">
      <c r="A49" s="100"/>
      <c r="B49" s="116"/>
      <c r="C49" s="74"/>
      <c r="D49" s="74"/>
      <c r="E49" s="74"/>
      <c r="F49" s="74"/>
      <c r="G49" s="74"/>
      <c r="H49" s="74"/>
      <c r="I49" s="74"/>
      <c r="J49" s="74"/>
      <c r="K49" s="101"/>
      <c r="L49" s="74"/>
      <c r="M49" s="79"/>
      <c r="N49" s="118" t="s">
        <v>1110</v>
      </c>
      <c r="O49" s="105" t="s">
        <v>1111</v>
      </c>
      <c r="P49" s="105" t="s">
        <v>1112</v>
      </c>
      <c r="Q49" s="105" t="s">
        <v>1113</v>
      </c>
      <c r="R49" s="105" t="s">
        <v>1114</v>
      </c>
      <c r="S49" s="105" t="s">
        <v>1115</v>
      </c>
      <c r="T49" s="105" t="s">
        <v>1116</v>
      </c>
      <c r="U49" s="105" t="s">
        <v>1117</v>
      </c>
      <c r="V49" s="105" t="s">
        <v>1118</v>
      </c>
      <c r="W49" s="80"/>
    </row>
    <row r="50" spans="1:23" x14ac:dyDescent="0.3">
      <c r="A50" s="100"/>
      <c r="B50" s="116"/>
      <c r="C50" s="74"/>
      <c r="D50" s="74"/>
      <c r="E50" s="74"/>
      <c r="F50" s="74"/>
      <c r="G50" s="74"/>
      <c r="H50" s="74"/>
      <c r="I50" s="74"/>
      <c r="J50" s="74"/>
      <c r="K50" s="101"/>
      <c r="L50" s="74"/>
      <c r="M50" s="79"/>
      <c r="N50" s="142">
        <v>44301.566828703704</v>
      </c>
      <c r="O50" s="72" t="s">
        <v>10</v>
      </c>
      <c r="P50" s="35"/>
      <c r="Q50" s="36"/>
      <c r="R50" s="37"/>
      <c r="S50" s="138">
        <f>IFERROR(SUM(Q50-R50),"0")</f>
        <v>0</v>
      </c>
      <c r="T50" s="138" t="str">
        <f>IFERROR(SUM(S50/U50), "-")</f>
        <v>-</v>
      </c>
      <c r="U50" s="38"/>
      <c r="V50" s="138"/>
      <c r="W50" s="80"/>
    </row>
    <row r="51" spans="1:23" x14ac:dyDescent="0.3">
      <c r="A51" s="100"/>
      <c r="B51" s="118" t="s">
        <v>1110</v>
      </c>
      <c r="C51" s="105" t="s">
        <v>1111</v>
      </c>
      <c r="D51" s="105" t="s">
        <v>1112</v>
      </c>
      <c r="E51" s="105" t="s">
        <v>1113</v>
      </c>
      <c r="F51" s="105" t="s">
        <v>1114</v>
      </c>
      <c r="G51" s="105" t="s">
        <v>1115</v>
      </c>
      <c r="H51" s="105" t="s">
        <v>1116</v>
      </c>
      <c r="I51" s="105" t="s">
        <v>1117</v>
      </c>
      <c r="J51" s="105" t="s">
        <v>1118</v>
      </c>
      <c r="K51" s="101"/>
      <c r="L51" s="74"/>
      <c r="M51" s="79"/>
      <c r="N51" s="141">
        <v>44301.56753472222</v>
      </c>
      <c r="O51" s="73" t="s">
        <v>11</v>
      </c>
      <c r="P51" s="40"/>
      <c r="Q51" s="41"/>
      <c r="R51" s="42"/>
      <c r="S51" s="138">
        <f>IFERROR(SUM(Q51-R51),"0")</f>
        <v>0</v>
      </c>
      <c r="T51" s="138" t="str">
        <f>IFERROR(SUM(S51/U51), "-")</f>
        <v>-</v>
      </c>
      <c r="U51" s="43"/>
      <c r="V51" s="138"/>
      <c r="W51" s="80"/>
    </row>
    <row r="52" spans="1:23" x14ac:dyDescent="0.3">
      <c r="A52" s="100"/>
      <c r="B52" s="146">
        <v>44301.566817129627</v>
      </c>
      <c r="C52" s="47" t="s">
        <v>9</v>
      </c>
      <c r="D52" s="48" t="s">
        <v>1093</v>
      </c>
      <c r="E52" s="49"/>
      <c r="F52" s="50"/>
      <c r="G52" s="138">
        <f>IFERROR(SUM(E52-F52),"0")</f>
        <v>0</v>
      </c>
      <c r="H52" s="139" t="str">
        <f>IFERROR(SUM(G52/I52),"-")</f>
        <v>-</v>
      </c>
      <c r="I52" s="137"/>
      <c r="J52" s="140"/>
      <c r="K52" s="101"/>
      <c r="L52" s="74"/>
      <c r="M52" s="79"/>
      <c r="N52" s="116"/>
      <c r="O52" s="75"/>
      <c r="P52" s="74"/>
      <c r="Q52" s="74"/>
      <c r="R52" s="74"/>
      <c r="S52" s="74"/>
      <c r="T52" s="74"/>
      <c r="U52" s="74"/>
      <c r="V52" s="74"/>
      <c r="W52" s="80"/>
    </row>
    <row r="53" spans="1:23" x14ac:dyDescent="0.3">
      <c r="A53" s="100"/>
      <c r="B53" s="146">
        <v>44301.567511574074</v>
      </c>
      <c r="C53" s="47" t="s">
        <v>13</v>
      </c>
      <c r="D53" s="48" t="s">
        <v>50</v>
      </c>
      <c r="E53" s="49"/>
      <c r="F53" s="50"/>
      <c r="G53" s="138">
        <f>IFERROR(SUM(E53-F53),"0")</f>
        <v>0</v>
      </c>
      <c r="H53" s="139" t="str">
        <f>IFERROR(SUM(G53/I53),"-")</f>
        <v>-</v>
      </c>
      <c r="I53" s="137"/>
      <c r="J53" s="140"/>
      <c r="K53" s="101"/>
      <c r="L53" s="74"/>
      <c r="M53" s="79"/>
      <c r="N53" s="121"/>
      <c r="O53" s="3"/>
      <c r="P53" s="3"/>
      <c r="Q53" s="3"/>
      <c r="R53" s="3"/>
      <c r="S53" s="3"/>
      <c r="T53" s="3"/>
      <c r="U53" s="3"/>
      <c r="V53" s="3"/>
      <c r="W53" s="80"/>
    </row>
    <row r="54" spans="1:23" x14ac:dyDescent="0.3">
      <c r="A54" s="100"/>
      <c r="B54" s="116"/>
      <c r="C54" s="74"/>
      <c r="D54" s="74"/>
      <c r="E54" s="74"/>
      <c r="F54" s="74"/>
      <c r="G54" s="74"/>
      <c r="H54" s="74"/>
      <c r="I54" s="74"/>
      <c r="J54" s="74"/>
      <c r="K54" s="101"/>
      <c r="L54" s="74"/>
      <c r="M54" s="79"/>
      <c r="N54" s="118" t="s">
        <v>1110</v>
      </c>
      <c r="O54" s="105" t="s">
        <v>1111</v>
      </c>
      <c r="P54" s="105" t="s">
        <v>1112</v>
      </c>
      <c r="Q54" s="105" t="s">
        <v>1113</v>
      </c>
      <c r="R54" s="105" t="s">
        <v>1114</v>
      </c>
      <c r="S54" s="105" t="s">
        <v>1115</v>
      </c>
      <c r="T54" s="105" t="s">
        <v>1116</v>
      </c>
      <c r="U54" s="105" t="s">
        <v>1117</v>
      </c>
      <c r="V54" s="105" t="s">
        <v>1118</v>
      </c>
      <c r="W54" s="80"/>
    </row>
    <row r="55" spans="1:23" x14ac:dyDescent="0.3">
      <c r="A55" s="100"/>
      <c r="B55" s="116"/>
      <c r="C55" s="74"/>
      <c r="D55" s="74"/>
      <c r="E55" s="74"/>
      <c r="F55" s="74"/>
      <c r="G55" s="74"/>
      <c r="H55" s="74"/>
      <c r="I55" s="74"/>
      <c r="J55" s="74"/>
      <c r="K55" s="101"/>
      <c r="L55" s="74"/>
      <c r="M55" s="79"/>
      <c r="N55" s="142">
        <v>44301.566828703704</v>
      </c>
      <c r="O55" s="72" t="s">
        <v>10</v>
      </c>
      <c r="P55" s="35" t="s">
        <v>1093</v>
      </c>
      <c r="Q55" s="36"/>
      <c r="R55" s="37"/>
      <c r="S55" s="138">
        <f>IFERROR(SUM(Q55-R55),"0")</f>
        <v>0</v>
      </c>
      <c r="T55" s="138" t="str">
        <f>IFERROR(SUM(S55/U55), "-")</f>
        <v>-</v>
      </c>
      <c r="U55" s="38"/>
      <c r="V55" s="138"/>
      <c r="W55" s="80"/>
    </row>
    <row r="56" spans="1:23" x14ac:dyDescent="0.3">
      <c r="A56" s="100"/>
      <c r="B56" s="116"/>
      <c r="C56" s="74"/>
      <c r="D56" s="74"/>
      <c r="E56" s="74"/>
      <c r="F56" s="74"/>
      <c r="G56" s="74"/>
      <c r="H56" s="74"/>
      <c r="I56" s="74"/>
      <c r="J56" s="74"/>
      <c r="K56" s="101"/>
      <c r="L56" s="74"/>
      <c r="M56" s="79"/>
      <c r="N56" s="141">
        <v>44301.56753472222</v>
      </c>
      <c r="O56" s="73" t="s">
        <v>11</v>
      </c>
      <c r="P56" s="40" t="s">
        <v>44</v>
      </c>
      <c r="Q56" s="41"/>
      <c r="R56" s="42"/>
      <c r="S56" s="138">
        <f>IFERROR(SUM(Q56-R56),"0")</f>
        <v>0</v>
      </c>
      <c r="T56" s="138" t="str">
        <f>IFERROR(SUM(S56/U56), "-")</f>
        <v>-</v>
      </c>
      <c r="U56" s="43"/>
      <c r="V56" s="138"/>
      <c r="W56" s="80"/>
    </row>
    <row r="57" spans="1:23" x14ac:dyDescent="0.3">
      <c r="A57" s="100"/>
      <c r="B57" s="116"/>
      <c r="C57" s="74"/>
      <c r="D57" s="74"/>
      <c r="E57" s="74"/>
      <c r="F57" s="74"/>
      <c r="G57" s="74"/>
      <c r="H57" s="74"/>
      <c r="I57" s="74"/>
      <c r="J57" s="74"/>
      <c r="K57" s="101"/>
      <c r="L57" s="74"/>
      <c r="M57" s="79"/>
      <c r="N57" s="118" t="s">
        <v>1110</v>
      </c>
      <c r="O57" s="105" t="s">
        <v>1111</v>
      </c>
      <c r="P57" s="105" t="s">
        <v>1112</v>
      </c>
      <c r="Q57" s="105" t="s">
        <v>1113</v>
      </c>
      <c r="R57" s="105" t="s">
        <v>1114</v>
      </c>
      <c r="S57" s="105" t="s">
        <v>1115</v>
      </c>
      <c r="T57" s="105" t="s">
        <v>1116</v>
      </c>
      <c r="U57" s="105" t="s">
        <v>1117</v>
      </c>
      <c r="V57" s="105" t="s">
        <v>1118</v>
      </c>
      <c r="W57" s="80"/>
    </row>
    <row r="58" spans="1:23" x14ac:dyDescent="0.3">
      <c r="A58" s="100"/>
      <c r="B58" s="118" t="s">
        <v>1110</v>
      </c>
      <c r="C58" s="105" t="s">
        <v>1111</v>
      </c>
      <c r="D58" s="105" t="s">
        <v>1112</v>
      </c>
      <c r="E58" s="105" t="s">
        <v>1113</v>
      </c>
      <c r="F58" s="105" t="s">
        <v>1114</v>
      </c>
      <c r="G58" s="105" t="s">
        <v>1115</v>
      </c>
      <c r="H58" s="105" t="s">
        <v>1116</v>
      </c>
      <c r="I58" s="105" t="s">
        <v>1117</v>
      </c>
      <c r="J58" s="105" t="s">
        <v>1118</v>
      </c>
      <c r="K58" s="101"/>
      <c r="L58" s="74"/>
      <c r="M58" s="79"/>
      <c r="N58" s="121"/>
      <c r="O58" s="3"/>
      <c r="P58" s="3"/>
      <c r="Q58" s="3"/>
      <c r="R58" s="3"/>
      <c r="S58" s="3"/>
      <c r="T58" s="3"/>
      <c r="U58" s="3"/>
      <c r="V58" s="3"/>
      <c r="W58" s="80"/>
    </row>
    <row r="59" spans="1:23" x14ac:dyDescent="0.3">
      <c r="A59" s="100"/>
      <c r="B59" s="146">
        <v>44301.566817129627</v>
      </c>
      <c r="C59" s="47" t="s">
        <v>9</v>
      </c>
      <c r="D59" s="48" t="s">
        <v>1093</v>
      </c>
      <c r="E59" s="68">
        <v>20</v>
      </c>
      <c r="F59" s="50"/>
      <c r="G59" s="70">
        <f>IFERROR(SUM(E59-F59),"0")</f>
        <v>20</v>
      </c>
      <c r="H59" s="139" t="str">
        <f>IFERROR(SUM(G59/I59),"-")</f>
        <v>-</v>
      </c>
      <c r="I59" s="51"/>
      <c r="J59" s="139"/>
      <c r="K59" s="101"/>
      <c r="L59" s="74"/>
      <c r="M59" s="79"/>
      <c r="N59" s="118" t="s">
        <v>1110</v>
      </c>
      <c r="O59" s="105" t="s">
        <v>1111</v>
      </c>
      <c r="P59" s="105" t="s">
        <v>1112</v>
      </c>
      <c r="Q59" s="105" t="s">
        <v>1113</v>
      </c>
      <c r="R59" s="105" t="s">
        <v>1114</v>
      </c>
      <c r="S59" s="105" t="s">
        <v>1115</v>
      </c>
      <c r="T59" s="105" t="s">
        <v>1116</v>
      </c>
      <c r="U59" s="105" t="s">
        <v>1117</v>
      </c>
      <c r="V59" s="105" t="s">
        <v>1118</v>
      </c>
      <c r="W59" s="80"/>
    </row>
    <row r="60" spans="1:23" x14ac:dyDescent="0.3">
      <c r="A60" s="100"/>
      <c r="B60" s="146">
        <v>44301.567511574074</v>
      </c>
      <c r="C60" s="47" t="s">
        <v>13</v>
      </c>
      <c r="D60" s="48" t="s">
        <v>50</v>
      </c>
      <c r="E60" s="49">
        <v>-10</v>
      </c>
      <c r="F60" s="50"/>
      <c r="G60" s="51">
        <f>IFERROR(SUM(E60-F60),"0")</f>
        <v>-10</v>
      </c>
      <c r="H60" s="139" t="str">
        <f>IFERROR(SUM(G60/I60),"-")</f>
        <v>-</v>
      </c>
      <c r="I60" s="51"/>
      <c r="J60" s="139"/>
      <c r="K60" s="101"/>
      <c r="L60" s="74"/>
      <c r="M60" s="79"/>
      <c r="N60" s="142">
        <v>44301.566828703704</v>
      </c>
      <c r="O60" s="72" t="s">
        <v>10</v>
      </c>
      <c r="P60" s="35" t="s">
        <v>1093</v>
      </c>
      <c r="Q60" s="36">
        <v>-1000</v>
      </c>
      <c r="R60" s="37"/>
      <c r="S60" s="87">
        <f>IFERROR(SUM(Q60-R60),"0")</f>
        <v>-1000</v>
      </c>
      <c r="T60" s="138" t="str">
        <f>IFERROR(SUM(S60/U60), "-")</f>
        <v>-</v>
      </c>
      <c r="U60" s="38"/>
      <c r="V60" s="138"/>
      <c r="W60" s="80"/>
    </row>
    <row r="61" spans="1:23" x14ac:dyDescent="0.3">
      <c r="A61" s="100"/>
      <c r="B61" s="116"/>
      <c r="C61" s="74"/>
      <c r="D61" s="74"/>
      <c r="E61" s="74"/>
      <c r="F61" s="74"/>
      <c r="G61" s="74"/>
      <c r="H61" s="74"/>
      <c r="I61" s="74"/>
      <c r="J61" s="74"/>
      <c r="K61" s="101"/>
      <c r="L61" s="74"/>
      <c r="M61" s="79"/>
      <c r="N61" s="141">
        <v>44301.56753472222</v>
      </c>
      <c r="O61" s="73" t="s">
        <v>11</v>
      </c>
      <c r="P61" s="40" t="s">
        <v>44</v>
      </c>
      <c r="Q61" s="41">
        <v>1000</v>
      </c>
      <c r="R61" s="42"/>
      <c r="S61" s="138">
        <f>IFERROR(SUM(Q61-R61),"0")</f>
        <v>1000</v>
      </c>
      <c r="T61" s="138" t="str">
        <f>IFERROR(SUM(S61/U61), "-")</f>
        <v>-</v>
      </c>
      <c r="U61" s="43"/>
      <c r="V61" s="138"/>
      <c r="W61" s="80"/>
    </row>
    <row r="62" spans="1:23" x14ac:dyDescent="0.3">
      <c r="A62" s="100"/>
      <c r="B62" s="116"/>
      <c r="C62" s="74"/>
      <c r="D62" s="74"/>
      <c r="E62" s="74"/>
      <c r="F62" s="74"/>
      <c r="G62" s="74"/>
      <c r="H62" s="74"/>
      <c r="I62" s="74"/>
      <c r="J62" s="74"/>
      <c r="K62" s="101"/>
      <c r="L62" s="74"/>
      <c r="M62" s="79"/>
      <c r="N62" s="116"/>
      <c r="O62" s="74"/>
      <c r="P62" s="74"/>
      <c r="Q62" s="75"/>
      <c r="R62" s="74"/>
      <c r="S62" s="74"/>
      <c r="T62" s="74"/>
      <c r="U62" s="74"/>
      <c r="V62" s="74"/>
      <c r="W62" s="80"/>
    </row>
    <row r="63" spans="1:23" x14ac:dyDescent="0.3">
      <c r="A63" s="100"/>
      <c r="B63" s="118" t="s">
        <v>1110</v>
      </c>
      <c r="C63" s="105" t="s">
        <v>1111</v>
      </c>
      <c r="D63" s="105" t="s">
        <v>1112</v>
      </c>
      <c r="E63" s="105" t="s">
        <v>1113</v>
      </c>
      <c r="F63" s="105" t="s">
        <v>1114</v>
      </c>
      <c r="G63" s="105" t="s">
        <v>1115</v>
      </c>
      <c r="H63" s="105" t="s">
        <v>1116</v>
      </c>
      <c r="I63" s="105" t="s">
        <v>1117</v>
      </c>
      <c r="J63" s="105" t="s">
        <v>1118</v>
      </c>
      <c r="K63" s="101"/>
      <c r="L63" s="74"/>
      <c r="M63" s="79"/>
      <c r="N63" s="121"/>
      <c r="O63" s="3"/>
      <c r="P63" s="3"/>
      <c r="Q63" s="3"/>
      <c r="R63" s="3"/>
      <c r="S63" s="3"/>
      <c r="T63" s="3"/>
      <c r="U63" s="3"/>
      <c r="V63" s="3"/>
      <c r="W63" s="80"/>
    </row>
    <row r="64" spans="1:23" x14ac:dyDescent="0.3">
      <c r="A64" s="100"/>
      <c r="B64" s="146">
        <v>44301.566817129627</v>
      </c>
      <c r="C64" s="47" t="s">
        <v>9</v>
      </c>
      <c r="D64" s="48" t="s">
        <v>1093</v>
      </c>
      <c r="E64" s="68">
        <v>20</v>
      </c>
      <c r="F64" s="50">
        <v>5</v>
      </c>
      <c r="G64" s="70">
        <f>IFERROR(SUM(E64-F64),"0")</f>
        <v>15</v>
      </c>
      <c r="H64" s="139" t="str">
        <f>IFERROR(SUM(G64/I64),"-")</f>
        <v>-</v>
      </c>
      <c r="I64" s="51"/>
      <c r="J64" s="139"/>
      <c r="K64" s="101"/>
      <c r="L64" s="74"/>
      <c r="M64" s="79"/>
      <c r="N64" s="121"/>
      <c r="O64" s="3"/>
      <c r="P64" s="3"/>
      <c r="Q64" s="3"/>
      <c r="R64" s="3"/>
      <c r="S64" s="3"/>
      <c r="T64" s="3"/>
      <c r="U64" s="3"/>
      <c r="V64" s="3"/>
      <c r="W64" s="80"/>
    </row>
    <row r="65" spans="1:23" x14ac:dyDescent="0.3">
      <c r="A65" s="100"/>
      <c r="B65" s="146">
        <v>44301.567511574074</v>
      </c>
      <c r="C65" s="47" t="s">
        <v>13</v>
      </c>
      <c r="D65" s="48" t="s">
        <v>50</v>
      </c>
      <c r="E65" s="49">
        <v>-10</v>
      </c>
      <c r="F65" s="50">
        <v>0</v>
      </c>
      <c r="G65" s="51">
        <f>IFERROR(SUM(E65-F65),"0")</f>
        <v>-10</v>
      </c>
      <c r="H65" s="139" t="str">
        <f>IFERROR(SUM(G65/I65),"-")</f>
        <v>-</v>
      </c>
      <c r="I65" s="51"/>
      <c r="J65" s="139"/>
      <c r="K65" s="101"/>
      <c r="L65" s="74"/>
      <c r="M65" s="79"/>
      <c r="N65" s="121"/>
      <c r="O65" s="3"/>
      <c r="P65" s="3"/>
      <c r="Q65" s="3"/>
      <c r="R65" s="3"/>
      <c r="S65" s="3"/>
      <c r="T65" s="3"/>
      <c r="U65" s="3"/>
      <c r="V65" s="3"/>
      <c r="W65" s="80"/>
    </row>
    <row r="66" spans="1:23" x14ac:dyDescent="0.3">
      <c r="A66" s="100"/>
      <c r="B66" s="116"/>
      <c r="C66" s="74"/>
      <c r="D66" s="74"/>
      <c r="E66" s="74"/>
      <c r="F66" s="74"/>
      <c r="G66" s="74"/>
      <c r="H66" s="74"/>
      <c r="I66" s="74"/>
      <c r="J66" s="74"/>
      <c r="K66" s="101"/>
      <c r="L66" s="74"/>
      <c r="M66" s="79"/>
      <c r="N66" s="121"/>
      <c r="O66" s="3"/>
      <c r="P66" s="3"/>
      <c r="Q66" s="3"/>
      <c r="R66" s="3"/>
      <c r="S66" s="74"/>
      <c r="T66" s="74"/>
      <c r="U66" s="74"/>
      <c r="V66" s="74"/>
      <c r="W66" s="80"/>
    </row>
    <row r="67" spans="1:23" x14ac:dyDescent="0.3">
      <c r="A67" s="100"/>
      <c r="B67" s="116"/>
      <c r="C67" s="74"/>
      <c r="D67" s="74"/>
      <c r="E67" s="74"/>
      <c r="F67" s="74"/>
      <c r="G67" s="74"/>
      <c r="H67" s="74"/>
      <c r="I67" s="74"/>
      <c r="J67" s="74"/>
      <c r="K67" s="101"/>
      <c r="L67" s="74"/>
      <c r="M67" s="79"/>
      <c r="N67" s="118" t="s">
        <v>1110</v>
      </c>
      <c r="O67" s="105" t="s">
        <v>1111</v>
      </c>
      <c r="P67" s="105" t="s">
        <v>1112</v>
      </c>
      <c r="Q67" s="105" t="s">
        <v>1113</v>
      </c>
      <c r="R67" s="105" t="s">
        <v>1114</v>
      </c>
      <c r="S67" s="105" t="s">
        <v>1115</v>
      </c>
      <c r="T67" s="105" t="s">
        <v>1116</v>
      </c>
      <c r="U67" s="105" t="s">
        <v>1117</v>
      </c>
      <c r="V67" s="105" t="s">
        <v>1118</v>
      </c>
      <c r="W67" s="80"/>
    </row>
    <row r="68" spans="1:23" x14ac:dyDescent="0.3">
      <c r="A68" s="100"/>
      <c r="B68" s="116"/>
      <c r="C68" s="74"/>
      <c r="D68" s="74"/>
      <c r="E68" s="74"/>
      <c r="F68" s="74"/>
      <c r="G68" s="74"/>
      <c r="H68" s="74"/>
      <c r="I68" s="74"/>
      <c r="J68" s="74"/>
      <c r="K68" s="101"/>
      <c r="L68" s="74"/>
      <c r="M68" s="79"/>
      <c r="N68" s="142">
        <v>44301.566828703704</v>
      </c>
      <c r="O68" s="72" t="s">
        <v>10</v>
      </c>
      <c r="P68" s="35" t="s">
        <v>44</v>
      </c>
      <c r="Q68" s="36">
        <v>-1000</v>
      </c>
      <c r="R68" s="37">
        <v>0</v>
      </c>
      <c r="S68" s="87">
        <f>IFERROR(SUM(Q68-R68),"0")</f>
        <v>-1000</v>
      </c>
      <c r="T68" s="138" t="str">
        <f>IFERROR(SUM(S68/U68), "-")</f>
        <v>-</v>
      </c>
      <c r="U68" s="38"/>
      <c r="V68" s="138"/>
      <c r="W68" s="80"/>
    </row>
    <row r="69" spans="1:23" x14ac:dyDescent="0.3">
      <c r="A69" s="100"/>
      <c r="B69" s="116"/>
      <c r="C69" s="74"/>
      <c r="D69" s="74"/>
      <c r="E69" s="74"/>
      <c r="F69" s="74"/>
      <c r="G69" s="74"/>
      <c r="H69" s="74"/>
      <c r="I69" s="74"/>
      <c r="J69" s="74"/>
      <c r="K69" s="101"/>
      <c r="L69" s="74"/>
      <c r="M69" s="79"/>
      <c r="N69" s="141">
        <v>44301.56753472222</v>
      </c>
      <c r="O69" s="73" t="s">
        <v>11</v>
      </c>
      <c r="P69" s="40" t="s">
        <v>1093</v>
      </c>
      <c r="Q69" s="41">
        <v>1000</v>
      </c>
      <c r="R69" s="42">
        <v>5</v>
      </c>
      <c r="S69" s="138">
        <f>IFERROR(SUM(Q69-R69),"0")</f>
        <v>995</v>
      </c>
      <c r="T69" s="138" t="str">
        <f>IFERROR(SUM(S69/U69), "-")</f>
        <v>-</v>
      </c>
      <c r="U69" s="43"/>
      <c r="V69" s="138"/>
      <c r="W69" s="80"/>
    </row>
    <row r="70" spans="1:23" x14ac:dyDescent="0.3">
      <c r="A70" s="100"/>
      <c r="B70" s="118" t="s">
        <v>1110</v>
      </c>
      <c r="C70" s="105" t="s">
        <v>1111</v>
      </c>
      <c r="D70" s="105" t="s">
        <v>1112</v>
      </c>
      <c r="E70" s="105" t="s">
        <v>1113</v>
      </c>
      <c r="F70" s="105" t="s">
        <v>1114</v>
      </c>
      <c r="G70" s="105" t="s">
        <v>1115</v>
      </c>
      <c r="H70" s="105" t="s">
        <v>1116</v>
      </c>
      <c r="I70" s="105" t="s">
        <v>1117</v>
      </c>
      <c r="J70" s="105" t="s">
        <v>1118</v>
      </c>
      <c r="K70" s="101"/>
      <c r="L70" s="74"/>
      <c r="M70" s="79"/>
      <c r="N70" s="118" t="s">
        <v>1110</v>
      </c>
      <c r="O70" s="105" t="s">
        <v>1111</v>
      </c>
      <c r="P70" s="105" t="s">
        <v>1112</v>
      </c>
      <c r="Q70" s="105" t="s">
        <v>1113</v>
      </c>
      <c r="R70" s="105" t="s">
        <v>1114</v>
      </c>
      <c r="S70" s="105" t="s">
        <v>1115</v>
      </c>
      <c r="T70" s="105" t="s">
        <v>1116</v>
      </c>
      <c r="U70" s="105" t="s">
        <v>1117</v>
      </c>
      <c r="V70" s="105" t="s">
        <v>1118</v>
      </c>
      <c r="W70" s="80"/>
    </row>
    <row r="71" spans="1:23" x14ac:dyDescent="0.3">
      <c r="A71" s="100"/>
      <c r="B71" s="146">
        <v>44301.566817129627</v>
      </c>
      <c r="C71" s="47" t="s">
        <v>9</v>
      </c>
      <c r="D71" s="48" t="s">
        <v>1093</v>
      </c>
      <c r="E71" s="49">
        <v>0</v>
      </c>
      <c r="F71" s="50">
        <v>86</v>
      </c>
      <c r="G71" s="51">
        <f>IFERROR(SUM(E71-F71),"0")</f>
        <v>-86</v>
      </c>
      <c r="H71" s="139" t="str">
        <f>IFERROR(SUM(G71/I71),"-")</f>
        <v>-</v>
      </c>
      <c r="I71" s="51"/>
      <c r="J71" s="139"/>
      <c r="K71" s="101"/>
      <c r="L71" s="74"/>
      <c r="M71" s="79"/>
      <c r="N71" s="142">
        <v>44301.566828703704</v>
      </c>
      <c r="O71" s="72" t="s">
        <v>10</v>
      </c>
      <c r="P71" s="35" t="s">
        <v>44</v>
      </c>
      <c r="Q71" s="36">
        <v>-1000</v>
      </c>
      <c r="R71" s="37">
        <v>5</v>
      </c>
      <c r="S71" s="87">
        <f>IFERROR(SUM(Q71-R71),"0")</f>
        <v>-1005</v>
      </c>
      <c r="T71" s="138" t="str">
        <f>IFERROR(SUM(S71/U71), "-")</f>
        <v>-</v>
      </c>
      <c r="U71" s="38"/>
      <c r="V71" s="138"/>
      <c r="W71" s="80"/>
    </row>
    <row r="72" spans="1:23" x14ac:dyDescent="0.3">
      <c r="A72" s="100"/>
      <c r="B72" s="116"/>
      <c r="C72" s="74"/>
      <c r="D72" s="74"/>
      <c r="E72" s="74"/>
      <c r="F72" s="74"/>
      <c r="G72" s="74"/>
      <c r="H72" s="74"/>
      <c r="I72" s="74"/>
      <c r="J72" s="74"/>
      <c r="K72" s="101"/>
      <c r="L72" s="74"/>
      <c r="M72" s="79"/>
      <c r="N72" s="141">
        <v>44301.56753472222</v>
      </c>
      <c r="O72" s="73" t="s">
        <v>11</v>
      </c>
      <c r="P72" s="40" t="s">
        <v>50</v>
      </c>
      <c r="Q72" s="41">
        <v>1000</v>
      </c>
      <c r="R72" s="42">
        <v>0</v>
      </c>
      <c r="S72" s="138">
        <f>IFERROR(SUM(Q72-R72),"0")</f>
        <v>1000</v>
      </c>
      <c r="T72" s="138" t="str">
        <f>IFERROR(SUM(S72/U72), "-")</f>
        <v>-</v>
      </c>
      <c r="U72" s="43"/>
      <c r="V72" s="138"/>
      <c r="W72" s="80"/>
    </row>
    <row r="73" spans="1:23" x14ac:dyDescent="0.3">
      <c r="A73" s="100"/>
      <c r="B73" s="116"/>
      <c r="C73" s="74"/>
      <c r="D73" s="74"/>
      <c r="E73" s="74"/>
      <c r="F73" s="74"/>
      <c r="G73" s="74"/>
      <c r="H73" s="74"/>
      <c r="I73" s="74"/>
      <c r="J73" s="74"/>
      <c r="K73" s="101"/>
      <c r="L73" s="74"/>
      <c r="M73" s="79"/>
      <c r="N73" s="116"/>
      <c r="O73" s="74"/>
      <c r="P73" s="74"/>
      <c r="Q73" s="74"/>
      <c r="R73" s="75"/>
      <c r="S73" s="74"/>
      <c r="T73" s="74"/>
      <c r="U73" s="74"/>
      <c r="V73" s="74"/>
      <c r="W73" s="80"/>
    </row>
    <row r="74" spans="1:23" x14ac:dyDescent="0.3">
      <c r="A74" s="100"/>
      <c r="B74" s="118" t="s">
        <v>1110</v>
      </c>
      <c r="C74" s="105" t="s">
        <v>1111</v>
      </c>
      <c r="D74" s="105" t="s">
        <v>1112</v>
      </c>
      <c r="E74" s="105" t="s">
        <v>1113</v>
      </c>
      <c r="F74" s="105" t="s">
        <v>1114</v>
      </c>
      <c r="G74" s="105" t="s">
        <v>1115</v>
      </c>
      <c r="H74" s="105" t="s">
        <v>1116</v>
      </c>
      <c r="I74" s="105" t="s">
        <v>1117</v>
      </c>
      <c r="J74" s="105" t="s">
        <v>1118</v>
      </c>
      <c r="K74" s="101"/>
      <c r="L74" s="74"/>
      <c r="M74" s="79"/>
      <c r="N74" s="121"/>
      <c r="O74" s="3"/>
      <c r="P74" s="3"/>
      <c r="Q74" s="3"/>
      <c r="R74" s="3"/>
      <c r="S74" s="3"/>
      <c r="T74" s="3"/>
      <c r="U74" s="3"/>
      <c r="V74" s="3"/>
      <c r="W74" s="80"/>
    </row>
    <row r="75" spans="1:23" x14ac:dyDescent="0.3">
      <c r="A75" s="100"/>
      <c r="B75" s="146">
        <v>44301.566817129627</v>
      </c>
      <c r="C75" s="47" t="s">
        <v>9</v>
      </c>
      <c r="D75" s="48" t="s">
        <v>1093</v>
      </c>
      <c r="E75" s="68">
        <v>20</v>
      </c>
      <c r="F75" s="69">
        <v>5</v>
      </c>
      <c r="G75" s="70">
        <f>IFERROR(SUM(E75-F75),"0")</f>
        <v>15</v>
      </c>
      <c r="H75" s="139" t="str">
        <f>IFERROR(SUM(G75/I75),"-")</f>
        <v>-</v>
      </c>
      <c r="I75" s="51"/>
      <c r="J75" s="139"/>
      <c r="K75" s="101"/>
      <c r="L75" s="74"/>
      <c r="M75" s="79"/>
      <c r="N75" s="118" t="s">
        <v>1110</v>
      </c>
      <c r="O75" s="105" t="s">
        <v>1111</v>
      </c>
      <c r="P75" s="105" t="s">
        <v>1112</v>
      </c>
      <c r="Q75" s="105" t="s">
        <v>1113</v>
      </c>
      <c r="R75" s="105" t="s">
        <v>1114</v>
      </c>
      <c r="S75" s="105" t="s">
        <v>1115</v>
      </c>
      <c r="T75" s="105" t="s">
        <v>1116</v>
      </c>
      <c r="U75" s="105" t="s">
        <v>1117</v>
      </c>
      <c r="V75" s="105" t="s">
        <v>1118</v>
      </c>
      <c r="W75" s="80"/>
    </row>
    <row r="76" spans="1:23" x14ac:dyDescent="0.3">
      <c r="A76" s="100"/>
      <c r="B76" s="146">
        <v>44301.567511574074</v>
      </c>
      <c r="C76" s="47" t="s">
        <v>13</v>
      </c>
      <c r="D76" s="48" t="s">
        <v>50</v>
      </c>
      <c r="E76" s="49">
        <v>-10</v>
      </c>
      <c r="F76" s="50">
        <v>0</v>
      </c>
      <c r="G76" s="51">
        <f>IFERROR(SUM(E76-F76),"0")</f>
        <v>-10</v>
      </c>
      <c r="H76" s="139" t="str">
        <f>IFERROR(SUM(G76/I76),"-")</f>
        <v>-</v>
      </c>
      <c r="I76" s="51"/>
      <c r="J76" s="139"/>
      <c r="K76" s="101"/>
      <c r="L76" s="74"/>
      <c r="M76" s="79"/>
      <c r="N76" s="124">
        <v>44301.566828703704</v>
      </c>
      <c r="O76" s="72" t="s">
        <v>10</v>
      </c>
      <c r="P76" s="35" t="s">
        <v>1093</v>
      </c>
      <c r="Q76" s="36">
        <v>-1000</v>
      </c>
      <c r="R76" s="37">
        <v>5</v>
      </c>
      <c r="S76" s="87">
        <f>IFERROR(SUM(Q76-R76),"0")</f>
        <v>-1005</v>
      </c>
      <c r="T76" s="138" t="str">
        <f>IFERROR(SUM(S76/U76), "-")</f>
        <v>-</v>
      </c>
      <c r="U76" s="38"/>
      <c r="V76" s="138"/>
      <c r="W76" s="80"/>
    </row>
    <row r="77" spans="1:23" x14ac:dyDescent="0.3">
      <c r="A77" s="100"/>
      <c r="B77" s="116"/>
      <c r="C77" s="74"/>
      <c r="D77" s="74"/>
      <c r="E77" s="74"/>
      <c r="F77" s="74"/>
      <c r="G77" s="74"/>
      <c r="H77" s="74"/>
      <c r="I77" s="74"/>
      <c r="J77" s="74"/>
      <c r="K77" s="101"/>
      <c r="L77" s="74"/>
      <c r="M77" s="79"/>
      <c r="N77" s="141">
        <v>44301.56753472222</v>
      </c>
      <c r="O77" s="73" t="s">
        <v>11</v>
      </c>
      <c r="P77" s="40" t="s">
        <v>44</v>
      </c>
      <c r="Q77" s="41">
        <v>1000</v>
      </c>
      <c r="R77" s="42">
        <v>0</v>
      </c>
      <c r="S77" s="138">
        <f>IFERROR(SUM(Q77-R77),"0")</f>
        <v>1000</v>
      </c>
      <c r="T77" s="44" t="str">
        <f>IFERROR(SUM(S77/U77), "-")</f>
        <v>-</v>
      </c>
      <c r="U77" s="43"/>
      <c r="V77" s="138"/>
      <c r="W77" s="80"/>
    </row>
    <row r="78" spans="1:23" x14ac:dyDescent="0.3">
      <c r="A78" s="100"/>
      <c r="B78" s="116"/>
      <c r="C78" s="74"/>
      <c r="D78" s="74"/>
      <c r="E78" s="74"/>
      <c r="F78" s="74"/>
      <c r="G78" s="74"/>
      <c r="H78" s="74"/>
      <c r="I78" s="74"/>
      <c r="J78" s="74"/>
      <c r="K78" s="101"/>
      <c r="L78" s="74"/>
      <c r="M78" s="79"/>
      <c r="N78" s="116"/>
      <c r="O78" s="74"/>
      <c r="P78" s="74"/>
      <c r="Q78" s="74"/>
      <c r="R78" s="74"/>
      <c r="S78" s="75"/>
      <c r="T78" s="138"/>
      <c r="U78" s="74"/>
      <c r="V78" s="74"/>
      <c r="W78" s="80"/>
    </row>
    <row r="79" spans="1:23" x14ac:dyDescent="0.3">
      <c r="A79" s="100"/>
      <c r="B79" s="118" t="s">
        <v>1110</v>
      </c>
      <c r="C79" s="105" t="s">
        <v>1111</v>
      </c>
      <c r="D79" s="105" t="s">
        <v>1112</v>
      </c>
      <c r="E79" s="105" t="s">
        <v>1113</v>
      </c>
      <c r="F79" s="105" t="s">
        <v>1114</v>
      </c>
      <c r="G79" s="105" t="s">
        <v>1115</v>
      </c>
      <c r="H79" s="105" t="s">
        <v>1116</v>
      </c>
      <c r="I79" s="105" t="s">
        <v>1117</v>
      </c>
      <c r="J79" s="105" t="s">
        <v>1118</v>
      </c>
      <c r="K79" s="101"/>
      <c r="L79" s="74"/>
      <c r="M79" s="79"/>
      <c r="N79" s="121"/>
      <c r="O79" s="3"/>
      <c r="P79" s="3"/>
      <c r="Q79" s="3"/>
      <c r="R79" s="3"/>
      <c r="S79" s="3"/>
      <c r="T79" s="3"/>
      <c r="U79" s="3"/>
      <c r="V79" s="3"/>
      <c r="W79" s="80"/>
    </row>
    <row r="80" spans="1:23" x14ac:dyDescent="0.3">
      <c r="A80" s="100"/>
      <c r="B80" s="146">
        <v>44301.566817129627</v>
      </c>
      <c r="C80" s="47" t="s">
        <v>9</v>
      </c>
      <c r="D80" s="48" t="s">
        <v>1093</v>
      </c>
      <c r="E80" s="68">
        <v>20</v>
      </c>
      <c r="F80" s="69">
        <v>5</v>
      </c>
      <c r="G80" s="70">
        <f>IFERROR(SUM(E80-F80),"0")</f>
        <v>15</v>
      </c>
      <c r="H80" s="139" t="str">
        <f>IFERROR(SUM(G80/I80),"-")</f>
        <v>-</v>
      </c>
      <c r="I80" s="51"/>
      <c r="J80" s="139"/>
      <c r="K80" s="101"/>
      <c r="L80" s="74"/>
      <c r="M80" s="79"/>
      <c r="N80" s="118" t="s">
        <v>1110</v>
      </c>
      <c r="O80" s="105" t="s">
        <v>1111</v>
      </c>
      <c r="P80" s="105" t="s">
        <v>1112</v>
      </c>
      <c r="Q80" s="105" t="s">
        <v>1113</v>
      </c>
      <c r="R80" s="105" t="s">
        <v>1114</v>
      </c>
      <c r="S80" s="105" t="s">
        <v>1115</v>
      </c>
      <c r="T80" s="105" t="s">
        <v>1116</v>
      </c>
      <c r="U80" s="105" t="s">
        <v>1117</v>
      </c>
      <c r="V80" s="105" t="s">
        <v>1118</v>
      </c>
      <c r="W80" s="80"/>
    </row>
    <row r="81" spans="1:23" x14ac:dyDescent="0.3">
      <c r="A81" s="100"/>
      <c r="B81" s="146">
        <v>44301.567511574074</v>
      </c>
      <c r="C81" s="47" t="s">
        <v>13</v>
      </c>
      <c r="D81" s="48" t="s">
        <v>50</v>
      </c>
      <c r="E81" s="49">
        <v>-10</v>
      </c>
      <c r="F81" s="50">
        <v>0</v>
      </c>
      <c r="G81" s="51">
        <f>IFERROR(SUM(E81-F81),"0")</f>
        <v>-10</v>
      </c>
      <c r="H81" s="139" t="str">
        <f>IFERROR(SUM(G81/I81),"-")</f>
        <v>-</v>
      </c>
      <c r="I81" s="51"/>
      <c r="J81" s="139"/>
      <c r="K81" s="101"/>
      <c r="L81" s="74"/>
      <c r="M81" s="79"/>
      <c r="N81" s="142">
        <v>44301.566828703704</v>
      </c>
      <c r="O81" s="72" t="s">
        <v>10</v>
      </c>
      <c r="P81" s="35" t="s">
        <v>1093</v>
      </c>
      <c r="Q81" s="36">
        <v>-1000</v>
      </c>
      <c r="R81" s="37">
        <v>5</v>
      </c>
      <c r="S81" s="87">
        <f>IFERROR(SUM(Q81-R81),"0")</f>
        <v>-1005</v>
      </c>
      <c r="T81" s="138" t="str">
        <f>IFERROR(SUM(S81/U81), "-")</f>
        <v>-</v>
      </c>
      <c r="U81" s="38"/>
      <c r="V81" s="138"/>
      <c r="W81" s="80"/>
    </row>
    <row r="82" spans="1:23" x14ac:dyDescent="0.3">
      <c r="A82" s="100"/>
      <c r="B82" s="116"/>
      <c r="C82" s="74"/>
      <c r="D82" s="74"/>
      <c r="E82" s="74"/>
      <c r="F82" s="74"/>
      <c r="G82" s="74"/>
      <c r="H82" s="74"/>
      <c r="I82" s="74"/>
      <c r="J82" s="74"/>
      <c r="K82" s="101"/>
      <c r="L82" s="74"/>
      <c r="M82" s="79"/>
      <c r="N82" s="141">
        <v>44301.56753472222</v>
      </c>
      <c r="O82" s="73" t="s">
        <v>11</v>
      </c>
      <c r="P82" s="40" t="s">
        <v>44</v>
      </c>
      <c r="Q82" s="41">
        <v>1000</v>
      </c>
      <c r="R82" s="42">
        <v>0</v>
      </c>
      <c r="S82" s="138">
        <f>IFERROR(SUM(Q82-R82),"0")</f>
        <v>1000</v>
      </c>
      <c r="T82" s="138" t="str">
        <f>IFERROR(SUM(S82/U82), "-")</f>
        <v>-</v>
      </c>
      <c r="U82" s="43"/>
      <c r="V82" s="138"/>
      <c r="W82" s="80"/>
    </row>
    <row r="83" spans="1:23" x14ac:dyDescent="0.3">
      <c r="A83" s="100"/>
      <c r="B83" s="116"/>
      <c r="C83" s="74"/>
      <c r="D83" s="74"/>
      <c r="E83" s="74"/>
      <c r="F83" s="74"/>
      <c r="G83" s="74"/>
      <c r="H83" s="74"/>
      <c r="I83" s="74"/>
      <c r="J83" s="74"/>
      <c r="K83" s="101"/>
      <c r="L83" s="74"/>
      <c r="M83" s="79"/>
      <c r="N83" s="116"/>
      <c r="O83" s="74"/>
      <c r="P83" s="74"/>
      <c r="Q83" s="74"/>
      <c r="R83" s="74"/>
      <c r="S83" s="74"/>
      <c r="T83" s="74"/>
      <c r="U83" s="75"/>
      <c r="V83" s="74"/>
      <c r="W83" s="80"/>
    </row>
    <row r="84" spans="1:23" x14ac:dyDescent="0.3">
      <c r="A84" s="100"/>
      <c r="B84" s="118" t="s">
        <v>1110</v>
      </c>
      <c r="C84" s="105" t="s">
        <v>1111</v>
      </c>
      <c r="D84" s="105" t="s">
        <v>1112</v>
      </c>
      <c r="E84" s="105" t="s">
        <v>1113</v>
      </c>
      <c r="F84" s="105" t="s">
        <v>1114</v>
      </c>
      <c r="G84" s="105" t="s">
        <v>1115</v>
      </c>
      <c r="H84" s="105" t="s">
        <v>1116</v>
      </c>
      <c r="I84" s="105" t="s">
        <v>1117</v>
      </c>
      <c r="J84" s="105" t="s">
        <v>1118</v>
      </c>
      <c r="K84" s="101"/>
      <c r="L84" s="74"/>
      <c r="M84" s="79"/>
      <c r="N84" s="116"/>
      <c r="O84" s="74"/>
      <c r="P84" s="74"/>
      <c r="Q84" s="74"/>
      <c r="R84" s="74"/>
      <c r="S84" s="74"/>
      <c r="T84" s="74"/>
      <c r="U84" s="74"/>
      <c r="V84" s="74"/>
      <c r="W84" s="80"/>
    </row>
    <row r="85" spans="1:23" x14ac:dyDescent="0.3">
      <c r="A85" s="100"/>
      <c r="B85" s="146">
        <v>44301.566817129627</v>
      </c>
      <c r="C85" s="47" t="s">
        <v>9</v>
      </c>
      <c r="D85" s="48" t="s">
        <v>1093</v>
      </c>
      <c r="E85" s="68">
        <v>20</v>
      </c>
      <c r="F85" s="69">
        <v>5</v>
      </c>
      <c r="G85" s="70">
        <f>IFERROR(SUM(E85-F85),"0")</f>
        <v>15</v>
      </c>
      <c r="H85" s="71">
        <f>IFERROR(SUM(G85/I85),"-")</f>
        <v>15</v>
      </c>
      <c r="I85" s="70">
        <v>1</v>
      </c>
      <c r="J85" s="139"/>
      <c r="K85" s="101"/>
      <c r="L85" s="74"/>
      <c r="M85" s="79"/>
      <c r="N85" s="118" t="s">
        <v>1110</v>
      </c>
      <c r="O85" s="105" t="s">
        <v>1111</v>
      </c>
      <c r="P85" s="105" t="s">
        <v>1112</v>
      </c>
      <c r="Q85" s="105" t="s">
        <v>1113</v>
      </c>
      <c r="R85" s="105" t="s">
        <v>1114</v>
      </c>
      <c r="S85" s="105" t="s">
        <v>1115</v>
      </c>
      <c r="T85" s="105" t="s">
        <v>1116</v>
      </c>
      <c r="U85" s="105" t="s">
        <v>1117</v>
      </c>
      <c r="V85" s="105" t="s">
        <v>1118</v>
      </c>
      <c r="W85" s="80"/>
    </row>
    <row r="86" spans="1:23" x14ac:dyDescent="0.3">
      <c r="A86" s="100"/>
      <c r="B86" s="146">
        <v>44301.567511574074</v>
      </c>
      <c r="C86" s="47" t="s">
        <v>13</v>
      </c>
      <c r="D86" s="48" t="s">
        <v>50</v>
      </c>
      <c r="E86" s="49">
        <v>-10</v>
      </c>
      <c r="F86" s="50">
        <v>0</v>
      </c>
      <c r="G86" s="51">
        <f>IFERROR(SUM(E86-F86),"0")</f>
        <v>-10</v>
      </c>
      <c r="H86" s="52">
        <f>IFERROR(SUM(G86/I86),"-")</f>
        <v>-5.0000000000000001E-3</v>
      </c>
      <c r="I86" s="51">
        <v>2000</v>
      </c>
      <c r="J86" s="139"/>
      <c r="K86" s="101"/>
      <c r="L86" s="74"/>
      <c r="M86" s="79"/>
      <c r="N86" s="142">
        <v>44301.566828703704</v>
      </c>
      <c r="O86" s="72" t="s">
        <v>10</v>
      </c>
      <c r="P86" s="35" t="s">
        <v>1093</v>
      </c>
      <c r="Q86" s="36">
        <v>-1000</v>
      </c>
      <c r="R86" s="37">
        <v>5</v>
      </c>
      <c r="S86" s="87">
        <f>IFERROR(SUM(Q86-R86),"0")</f>
        <v>-1005</v>
      </c>
      <c r="T86" s="39">
        <f>IFERROR(SUM(S86/U86), "-")</f>
        <v>-1005</v>
      </c>
      <c r="U86" s="38">
        <v>1</v>
      </c>
      <c r="V86" s="138"/>
      <c r="W86" s="80"/>
    </row>
    <row r="87" spans="1:23" x14ac:dyDescent="0.3">
      <c r="A87" s="100"/>
      <c r="B87" s="116"/>
      <c r="C87" s="74"/>
      <c r="D87" s="74"/>
      <c r="E87" s="74"/>
      <c r="F87" s="74"/>
      <c r="G87" s="74"/>
      <c r="H87" s="74"/>
      <c r="I87" s="74"/>
      <c r="J87" s="74"/>
      <c r="K87" s="101"/>
      <c r="L87" s="74"/>
      <c r="M87" s="79"/>
      <c r="N87" s="141">
        <v>44301.56753472222</v>
      </c>
      <c r="O87" s="73" t="s">
        <v>11</v>
      </c>
      <c r="P87" s="40" t="s">
        <v>44</v>
      </c>
      <c r="Q87" s="41">
        <v>1000</v>
      </c>
      <c r="R87" s="42">
        <v>0</v>
      </c>
      <c r="S87" s="138">
        <f>IFERROR(SUM(Q87-R87),"0")</f>
        <v>1000</v>
      </c>
      <c r="T87" s="138">
        <f>IFERROR(SUM(S87/U87), "-")</f>
        <v>3.3333333333333333E-2</v>
      </c>
      <c r="U87" s="43">
        <v>30000</v>
      </c>
      <c r="V87" s="138"/>
      <c r="W87" s="80"/>
    </row>
    <row r="88" spans="1:23" x14ac:dyDescent="0.3">
      <c r="A88" s="100"/>
      <c r="B88" s="116"/>
      <c r="C88" s="74"/>
      <c r="D88" s="74"/>
      <c r="E88" s="74"/>
      <c r="F88" s="74"/>
      <c r="G88" s="74"/>
      <c r="H88" s="74"/>
      <c r="I88" s="74"/>
      <c r="J88" s="74"/>
      <c r="K88" s="101"/>
      <c r="L88" s="74"/>
      <c r="M88" s="79"/>
      <c r="N88" s="116"/>
      <c r="O88" s="74"/>
      <c r="P88" s="74"/>
      <c r="Q88" s="74"/>
      <c r="R88" s="74"/>
      <c r="S88" s="74"/>
      <c r="T88" s="75"/>
      <c r="U88" s="74"/>
      <c r="V88" s="74"/>
      <c r="W88" s="80"/>
    </row>
    <row r="89" spans="1:23" x14ac:dyDescent="0.3">
      <c r="A89" s="100"/>
      <c r="B89" s="116"/>
      <c r="C89" s="74"/>
      <c r="D89" s="74"/>
      <c r="E89" s="74"/>
      <c r="F89" s="74"/>
      <c r="G89" s="74"/>
      <c r="H89" s="74"/>
      <c r="I89" s="74"/>
      <c r="J89" s="74"/>
      <c r="K89" s="101"/>
      <c r="L89" s="74"/>
      <c r="M89" s="79"/>
      <c r="N89" s="116"/>
      <c r="O89" s="74"/>
      <c r="P89" s="74"/>
      <c r="Q89" s="74"/>
      <c r="R89" s="74"/>
      <c r="S89" s="74"/>
      <c r="T89" s="74"/>
      <c r="U89" s="74"/>
      <c r="V89" s="74"/>
      <c r="W89" s="80"/>
    </row>
    <row r="90" spans="1:23" x14ac:dyDescent="0.3">
      <c r="A90" s="100"/>
      <c r="B90" s="116"/>
      <c r="C90" s="74"/>
      <c r="D90" s="74"/>
      <c r="E90" s="74"/>
      <c r="F90" s="74"/>
      <c r="G90" s="74"/>
      <c r="H90" s="74"/>
      <c r="I90" s="74"/>
      <c r="J90" s="74"/>
      <c r="K90" s="101"/>
      <c r="L90" s="74"/>
      <c r="M90" s="79"/>
      <c r="N90" s="118" t="s">
        <v>1110</v>
      </c>
      <c r="O90" s="105" t="s">
        <v>1111</v>
      </c>
      <c r="P90" s="105" t="s">
        <v>1112</v>
      </c>
      <c r="Q90" s="105" t="s">
        <v>1113</v>
      </c>
      <c r="R90" s="105" t="s">
        <v>1114</v>
      </c>
      <c r="S90" s="105" t="s">
        <v>1115</v>
      </c>
      <c r="T90" s="105" t="s">
        <v>1116</v>
      </c>
      <c r="U90" s="105" t="s">
        <v>1117</v>
      </c>
      <c r="V90" s="105" t="s">
        <v>1118</v>
      </c>
      <c r="W90" s="80"/>
    </row>
    <row r="91" spans="1:23" x14ac:dyDescent="0.3">
      <c r="A91" s="100"/>
      <c r="B91" s="118" t="s">
        <v>1110</v>
      </c>
      <c r="C91" s="105" t="s">
        <v>1111</v>
      </c>
      <c r="D91" s="105" t="s">
        <v>1112</v>
      </c>
      <c r="E91" s="105" t="s">
        <v>1113</v>
      </c>
      <c r="F91" s="105" t="s">
        <v>1114</v>
      </c>
      <c r="G91" s="105" t="s">
        <v>1115</v>
      </c>
      <c r="H91" s="105" t="s">
        <v>1116</v>
      </c>
      <c r="I91" s="105" t="s">
        <v>1117</v>
      </c>
      <c r="J91" s="105" t="s">
        <v>1118</v>
      </c>
      <c r="K91" s="101"/>
      <c r="L91" s="74"/>
      <c r="M91" s="79"/>
      <c r="N91" s="142">
        <v>44301.566828703704</v>
      </c>
      <c r="O91" s="72" t="s">
        <v>10</v>
      </c>
      <c r="P91" s="35" t="s">
        <v>1093</v>
      </c>
      <c r="Q91" s="36">
        <v>-1000</v>
      </c>
      <c r="R91" s="37">
        <v>5</v>
      </c>
      <c r="S91" s="87">
        <f>IFERROR(SUM(Q91-R91),"0")</f>
        <v>-1005</v>
      </c>
      <c r="T91" s="39">
        <f>IFERROR(SUM(S91/U91), "-")</f>
        <v>-1005</v>
      </c>
      <c r="U91" s="38">
        <v>1</v>
      </c>
      <c r="V91" s="138"/>
      <c r="W91" s="80"/>
    </row>
    <row r="92" spans="1:23" x14ac:dyDescent="0.3">
      <c r="A92" s="100"/>
      <c r="B92" s="146">
        <v>44301.566817129627</v>
      </c>
      <c r="C92" s="47" t="s">
        <v>9</v>
      </c>
      <c r="D92" s="48" t="s">
        <v>1093</v>
      </c>
      <c r="E92" s="68">
        <v>20</v>
      </c>
      <c r="F92" s="69">
        <v>0.6</v>
      </c>
      <c r="G92" s="70">
        <f>IFERROR(SUM(E92-F92),"0")</f>
        <v>19.399999999999999</v>
      </c>
      <c r="H92" s="71">
        <f>IFERROR(SUM(G92/I92),"-")</f>
        <v>19.399999999999999</v>
      </c>
      <c r="I92" s="70">
        <v>1</v>
      </c>
      <c r="J92" s="139"/>
      <c r="K92" s="101"/>
      <c r="L92" s="74"/>
      <c r="M92" s="79"/>
      <c r="N92" s="141">
        <v>44301.56753472222</v>
      </c>
      <c r="O92" s="73" t="s">
        <v>11</v>
      </c>
      <c r="P92" s="40" t="s">
        <v>44</v>
      </c>
      <c r="Q92" s="41">
        <v>1000</v>
      </c>
      <c r="R92" s="42">
        <v>0</v>
      </c>
      <c r="S92" s="138">
        <f>IFERROR(SUM(Q92-R92),"0")</f>
        <v>1000</v>
      </c>
      <c r="T92" s="138">
        <f>IFERROR(SUM(S92/U92), "-")</f>
        <v>3.3333333333333333E-2</v>
      </c>
      <c r="U92" s="43">
        <v>30000</v>
      </c>
      <c r="V92" s="46">
        <v>-0.88</v>
      </c>
      <c r="W92" s="80"/>
    </row>
    <row r="93" spans="1:23" x14ac:dyDescent="0.3">
      <c r="A93" s="100"/>
      <c r="B93" s="146">
        <v>44301.567511574074</v>
      </c>
      <c r="C93" s="47" t="s">
        <v>13</v>
      </c>
      <c r="D93" s="48" t="s">
        <v>50</v>
      </c>
      <c r="E93" s="49">
        <v>-10</v>
      </c>
      <c r="F93" s="50">
        <v>0</v>
      </c>
      <c r="G93" s="51">
        <f>IFERROR(SUM(E93-F93),"0")</f>
        <v>-10</v>
      </c>
      <c r="H93" s="52">
        <f>IFERROR(SUM(G93/I93),"-")</f>
        <v>-0.33333333333333331</v>
      </c>
      <c r="I93" s="51">
        <v>30</v>
      </c>
      <c r="J93" s="139"/>
      <c r="K93" s="101"/>
      <c r="L93" s="74"/>
      <c r="M93" s="79"/>
      <c r="N93" s="74"/>
      <c r="O93" s="74"/>
      <c r="P93" s="74"/>
      <c r="Q93" s="74"/>
      <c r="R93" s="74"/>
      <c r="S93" s="74"/>
      <c r="T93" s="74"/>
      <c r="U93" s="74"/>
      <c r="V93" s="75"/>
      <c r="W93" s="80"/>
    </row>
    <row r="94" spans="1:23" x14ac:dyDescent="0.3">
      <c r="A94" s="100"/>
      <c r="B94" s="74"/>
      <c r="C94" s="74"/>
      <c r="D94" s="74"/>
      <c r="E94" s="74"/>
      <c r="F94" s="74"/>
      <c r="G94" s="74"/>
      <c r="H94" s="74"/>
      <c r="I94" s="74"/>
      <c r="J94" s="74"/>
      <c r="K94" s="101"/>
      <c r="L94" s="74"/>
      <c r="M94" s="79"/>
      <c r="N94" s="3"/>
      <c r="O94" s="3"/>
      <c r="P94" s="3"/>
      <c r="Q94" s="3"/>
      <c r="R94" s="3"/>
      <c r="S94" s="3"/>
      <c r="T94" s="3"/>
      <c r="U94" s="3"/>
      <c r="V94" s="3"/>
      <c r="W94" s="80"/>
    </row>
    <row r="95" spans="1:23" x14ac:dyDescent="0.3">
      <c r="A95" s="100"/>
      <c r="B95" s="74"/>
      <c r="C95" s="74"/>
      <c r="D95" s="74"/>
      <c r="E95" s="74"/>
      <c r="F95" s="74"/>
      <c r="G95" s="74"/>
      <c r="H95" s="74"/>
      <c r="I95" s="74"/>
      <c r="J95" s="74"/>
      <c r="K95" s="101"/>
      <c r="L95" s="74"/>
      <c r="M95" s="79"/>
      <c r="N95" s="74"/>
      <c r="O95" s="74"/>
      <c r="P95" s="74"/>
      <c r="Q95" s="74"/>
      <c r="R95" s="74"/>
      <c r="S95" s="74"/>
      <c r="T95" s="74"/>
      <c r="U95" s="74"/>
      <c r="V95" s="74"/>
      <c r="W95" s="80"/>
    </row>
    <row r="96" spans="1:23" ht="15" thickBot="1" x14ac:dyDescent="0.35">
      <c r="A96" s="102"/>
      <c r="B96" s="103"/>
      <c r="C96" s="103"/>
      <c r="D96" s="103"/>
      <c r="E96" s="103"/>
      <c r="F96" s="103"/>
      <c r="G96" s="103"/>
      <c r="H96" s="103"/>
      <c r="I96" s="103"/>
      <c r="J96" s="103"/>
      <c r="K96" s="104"/>
      <c r="L96" s="74"/>
      <c r="M96" s="81"/>
      <c r="N96" s="82"/>
      <c r="O96" s="82"/>
      <c r="P96" s="82"/>
      <c r="Q96" s="82"/>
      <c r="R96" s="82"/>
      <c r="S96" s="82"/>
      <c r="T96" s="82"/>
      <c r="U96" s="82"/>
      <c r="V96" s="82"/>
      <c r="W96" s="83"/>
    </row>
    <row r="97" ht="15" thickTop="1" x14ac:dyDescent="0.3"/>
  </sheetData>
  <conditionalFormatting sqref="P68:P69 P71:P72">
    <cfRule type="containsText" dxfId="685" priority="397" operator="containsText" text="eur">
      <formula>NOT(ISERROR(SEARCH("eur",P68)))</formula>
    </cfRule>
  </conditionalFormatting>
  <conditionalFormatting sqref="O68:O69 O71:O72">
    <cfRule type="containsText" dxfId="684" priority="483" operator="containsText" text="spend">
      <formula>NOT(ISERROR(SEARCH("spend",O68)))</formula>
    </cfRule>
    <cfRule type="containsText" dxfId="683" priority="484" operator="containsText" text="deposit">
      <formula>NOT(ISERROR(SEARCH("deposit",O68)))</formula>
    </cfRule>
  </conditionalFormatting>
  <conditionalFormatting sqref="V25 Q68:Q69 Q71:Q72">
    <cfRule type="cellIs" dxfId="682" priority="482" operator="lessThan">
      <formula>0</formula>
    </cfRule>
  </conditionalFormatting>
  <conditionalFormatting sqref="O68:O69 O71:O72">
    <cfRule type="containsText" dxfId="681" priority="480" operator="containsText" text="withdrawal">
      <formula>NOT(ISERROR(SEARCH("withdrawal",O68)))</formula>
    </cfRule>
    <cfRule type="containsText" dxfId="680" priority="481" operator="containsText" text="receive">
      <formula>NOT(ISERROR(SEARCH("receive",O68)))</formula>
    </cfRule>
  </conditionalFormatting>
  <conditionalFormatting sqref="C25">
    <cfRule type="containsText" dxfId="679" priority="478" operator="containsText" text="withdrawal">
      <formula>NOT(ISERROR(SEARCH("withdrawal",C25)))</formula>
    </cfRule>
    <cfRule type="containsText" dxfId="678" priority="479" operator="containsText" text="receive">
      <formula>NOT(ISERROR(SEARCH("receive",C25)))</formula>
    </cfRule>
  </conditionalFormatting>
  <conditionalFormatting sqref="D32:D33">
    <cfRule type="containsText" dxfId="677" priority="471" operator="containsText" text="BTC">
      <formula>NOT(ISERROR(SEARCH("BTC",D32)))</formula>
    </cfRule>
    <cfRule type="containsText" dxfId="676" priority="472" operator="containsText" text="XRP">
      <formula>NOT(ISERROR(SEARCH("XRP",D32)))</formula>
    </cfRule>
    <cfRule type="containsText" dxfId="675" priority="473" operator="containsText" text="ADA">
      <formula>NOT(ISERROR(SEARCH("ADA",D32)))</formula>
    </cfRule>
    <cfRule type="containsText" dxfId="674" priority="474" operator="containsText" text="ETH">
      <formula>NOT(ISERROR(SEARCH("ETH",D32)))</formula>
    </cfRule>
    <cfRule type="containsText" dxfId="673" priority="475" operator="containsText" text="DOGE">
      <formula>NOT(ISERROR(SEARCH("DOGE",D32)))</formula>
    </cfRule>
    <cfRule type="containsText" dxfId="672" priority="476" operator="containsText" text="EUR">
      <formula>NOT(ISERROR(SEARCH("EUR",D32)))</formula>
    </cfRule>
  </conditionalFormatting>
  <conditionalFormatting sqref="C32:C33">
    <cfRule type="containsText" dxfId="671" priority="469" operator="containsText" text="spend">
      <formula>NOT(ISERROR(SEARCH("spend",C32)))</formula>
    </cfRule>
    <cfRule type="containsText" dxfId="670" priority="470" operator="containsText" text="deposit">
      <formula>NOT(ISERROR(SEARCH("deposit",C32)))</formula>
    </cfRule>
    <cfRule type="containsText" dxfId="669" priority="477" operator="containsText" text="trade">
      <formula>NOT(ISERROR(SEARCH("trade",C32)))</formula>
    </cfRule>
  </conditionalFormatting>
  <conditionalFormatting sqref="E32:E33 J32:J33 G32:H33">
    <cfRule type="cellIs" dxfId="668" priority="468" operator="lessThan">
      <formula>0</formula>
    </cfRule>
  </conditionalFormatting>
  <conditionalFormatting sqref="C32:C33">
    <cfRule type="containsText" dxfId="667" priority="466" operator="containsText" text="withdrawal">
      <formula>NOT(ISERROR(SEARCH("withdrawal",C32)))</formula>
    </cfRule>
    <cfRule type="containsText" dxfId="666" priority="467" operator="containsText" text="receive">
      <formula>NOT(ISERROR(SEARCH("receive",C32)))</formula>
    </cfRule>
  </conditionalFormatting>
  <conditionalFormatting sqref="D40:D41">
    <cfRule type="containsText" dxfId="665" priority="459" operator="containsText" text="BTC">
      <formula>NOT(ISERROR(SEARCH("BTC",D40)))</formula>
    </cfRule>
    <cfRule type="containsText" dxfId="664" priority="460" operator="containsText" text="XRP">
      <formula>NOT(ISERROR(SEARCH("XRP",D40)))</formula>
    </cfRule>
    <cfRule type="containsText" dxfId="663" priority="461" operator="containsText" text="ADA">
      <formula>NOT(ISERROR(SEARCH("ADA",D40)))</formula>
    </cfRule>
    <cfRule type="containsText" dxfId="662" priority="462" operator="containsText" text="ETH">
      <formula>NOT(ISERROR(SEARCH("ETH",D40)))</formula>
    </cfRule>
    <cfRule type="containsText" dxfId="661" priority="463" operator="containsText" text="DOGE">
      <formula>NOT(ISERROR(SEARCH("DOGE",D40)))</formula>
    </cfRule>
    <cfRule type="containsText" dxfId="660" priority="464" operator="containsText" text="EUR">
      <formula>NOT(ISERROR(SEARCH("EUR",D40)))</formula>
    </cfRule>
  </conditionalFormatting>
  <conditionalFormatting sqref="C40:C41">
    <cfRule type="containsText" dxfId="659" priority="457" operator="containsText" text="spend">
      <formula>NOT(ISERROR(SEARCH("spend",C40)))</formula>
    </cfRule>
    <cfRule type="containsText" dxfId="658" priority="458" operator="containsText" text="deposit">
      <formula>NOT(ISERROR(SEARCH("deposit",C40)))</formula>
    </cfRule>
    <cfRule type="containsText" dxfId="657" priority="465" operator="containsText" text="trade">
      <formula>NOT(ISERROR(SEARCH("trade",C40)))</formula>
    </cfRule>
  </conditionalFormatting>
  <conditionalFormatting sqref="E40:E41 J41">
    <cfRule type="cellIs" dxfId="656" priority="456" operator="lessThan">
      <formula>0</formula>
    </cfRule>
  </conditionalFormatting>
  <conditionalFormatting sqref="C40:C41">
    <cfRule type="containsText" dxfId="655" priority="454" operator="containsText" text="withdrawal">
      <formula>NOT(ISERROR(SEARCH("withdrawal",C40)))</formula>
    </cfRule>
    <cfRule type="containsText" dxfId="654" priority="455" operator="containsText" text="receive">
      <formula>NOT(ISERROR(SEARCH("receive",C40)))</formula>
    </cfRule>
  </conditionalFormatting>
  <conditionalFormatting sqref="D52:D53">
    <cfRule type="containsText" dxfId="653" priority="447" operator="containsText" text="BTC">
      <formula>NOT(ISERROR(SEARCH("BTC",D52)))</formula>
    </cfRule>
    <cfRule type="containsText" dxfId="652" priority="448" operator="containsText" text="XRP">
      <formula>NOT(ISERROR(SEARCH("XRP",D52)))</formula>
    </cfRule>
    <cfRule type="containsText" dxfId="651" priority="449" operator="containsText" text="ADA">
      <formula>NOT(ISERROR(SEARCH("ADA",D52)))</formula>
    </cfRule>
    <cfRule type="containsText" dxfId="650" priority="450" operator="containsText" text="ETH">
      <formula>NOT(ISERROR(SEARCH("ETH",D52)))</formula>
    </cfRule>
    <cfRule type="containsText" dxfId="649" priority="451" operator="containsText" text="DOGE">
      <formula>NOT(ISERROR(SEARCH("DOGE",D52)))</formula>
    </cfRule>
    <cfRule type="containsText" dxfId="648" priority="452" operator="containsText" text="EUR">
      <formula>NOT(ISERROR(SEARCH("EUR",D52)))</formula>
    </cfRule>
  </conditionalFormatting>
  <conditionalFormatting sqref="C52:C53">
    <cfRule type="containsText" dxfId="647" priority="445" operator="containsText" text="spend">
      <formula>NOT(ISERROR(SEARCH("spend",C52)))</formula>
    </cfRule>
    <cfRule type="containsText" dxfId="646" priority="446" operator="containsText" text="deposit">
      <formula>NOT(ISERROR(SEARCH("deposit",C52)))</formula>
    </cfRule>
    <cfRule type="containsText" dxfId="645" priority="453" operator="containsText" text="trade">
      <formula>NOT(ISERROR(SEARCH("trade",C52)))</formula>
    </cfRule>
  </conditionalFormatting>
  <conditionalFormatting sqref="E52:E53">
    <cfRule type="cellIs" dxfId="644" priority="444" operator="lessThan">
      <formula>0</formula>
    </cfRule>
  </conditionalFormatting>
  <conditionalFormatting sqref="C52:C53">
    <cfRule type="containsText" dxfId="643" priority="442" operator="containsText" text="withdrawal">
      <formula>NOT(ISERROR(SEARCH("withdrawal",C52)))</formula>
    </cfRule>
    <cfRule type="containsText" dxfId="642" priority="443" operator="containsText" text="receive">
      <formula>NOT(ISERROR(SEARCH("receive",C52)))</formula>
    </cfRule>
  </conditionalFormatting>
  <conditionalFormatting sqref="D59:D60">
    <cfRule type="containsText" dxfId="641" priority="435" operator="containsText" text="BTC">
      <formula>NOT(ISERROR(SEARCH("BTC",D59)))</formula>
    </cfRule>
    <cfRule type="containsText" dxfId="640" priority="436" operator="containsText" text="XRP">
      <formula>NOT(ISERROR(SEARCH("XRP",D59)))</formula>
    </cfRule>
    <cfRule type="containsText" dxfId="639" priority="437" operator="containsText" text="ADA">
      <formula>NOT(ISERROR(SEARCH("ADA",D59)))</formula>
    </cfRule>
    <cfRule type="containsText" dxfId="638" priority="438" operator="containsText" text="ETH">
      <formula>NOT(ISERROR(SEARCH("ETH",D59)))</formula>
    </cfRule>
    <cfRule type="containsText" dxfId="637" priority="439" operator="containsText" text="DOGE">
      <formula>NOT(ISERROR(SEARCH("DOGE",D59)))</formula>
    </cfRule>
    <cfRule type="containsText" dxfId="636" priority="440" operator="containsText" text="EUR">
      <formula>NOT(ISERROR(SEARCH("EUR",D59)))</formula>
    </cfRule>
  </conditionalFormatting>
  <conditionalFormatting sqref="C59:C60">
    <cfRule type="containsText" dxfId="635" priority="433" operator="containsText" text="spend">
      <formula>NOT(ISERROR(SEARCH("spend",C59)))</formula>
    </cfRule>
    <cfRule type="containsText" dxfId="634" priority="434" operator="containsText" text="deposit">
      <formula>NOT(ISERROR(SEARCH("deposit",C59)))</formula>
    </cfRule>
    <cfRule type="containsText" dxfId="633" priority="441" operator="containsText" text="trade">
      <formula>NOT(ISERROR(SEARCH("trade",C59)))</formula>
    </cfRule>
  </conditionalFormatting>
  <conditionalFormatting sqref="E59:E60">
    <cfRule type="cellIs" dxfId="632" priority="432" operator="lessThan">
      <formula>0</formula>
    </cfRule>
  </conditionalFormatting>
  <conditionalFormatting sqref="C59:C60">
    <cfRule type="containsText" dxfId="631" priority="430" operator="containsText" text="withdrawal">
      <formula>NOT(ISERROR(SEARCH("withdrawal",C59)))</formula>
    </cfRule>
    <cfRule type="containsText" dxfId="630" priority="431" operator="containsText" text="receive">
      <formula>NOT(ISERROR(SEARCH("receive",C59)))</formula>
    </cfRule>
  </conditionalFormatting>
  <conditionalFormatting sqref="D85:D86">
    <cfRule type="containsText" dxfId="629" priority="423" operator="containsText" text="BTC">
      <formula>NOT(ISERROR(SEARCH("BTC",D85)))</formula>
    </cfRule>
    <cfRule type="containsText" dxfId="628" priority="424" operator="containsText" text="XRP">
      <formula>NOT(ISERROR(SEARCH("XRP",D85)))</formula>
    </cfRule>
    <cfRule type="containsText" dxfId="627" priority="425" operator="containsText" text="ADA">
      <formula>NOT(ISERROR(SEARCH("ADA",D85)))</formula>
    </cfRule>
    <cfRule type="containsText" dxfId="626" priority="426" operator="containsText" text="ETH">
      <formula>NOT(ISERROR(SEARCH("ETH",D85)))</formula>
    </cfRule>
    <cfRule type="containsText" dxfId="625" priority="427" operator="containsText" text="DOGE">
      <formula>NOT(ISERROR(SEARCH("DOGE",D85)))</formula>
    </cfRule>
    <cfRule type="containsText" dxfId="624" priority="428" operator="containsText" text="EUR">
      <formula>NOT(ISERROR(SEARCH("EUR",D85)))</formula>
    </cfRule>
  </conditionalFormatting>
  <conditionalFormatting sqref="C85:C86">
    <cfRule type="containsText" dxfId="623" priority="421" operator="containsText" text="spend">
      <formula>NOT(ISERROR(SEARCH("spend",C85)))</formula>
    </cfRule>
    <cfRule type="containsText" dxfId="622" priority="422" operator="containsText" text="deposit">
      <formula>NOT(ISERROR(SEARCH("deposit",C85)))</formula>
    </cfRule>
    <cfRule type="containsText" dxfId="621" priority="429" operator="containsText" text="trade">
      <formula>NOT(ISERROR(SEARCH("trade",C85)))</formula>
    </cfRule>
  </conditionalFormatting>
  <conditionalFormatting sqref="E85:E86">
    <cfRule type="cellIs" dxfId="620" priority="420" operator="lessThan">
      <formula>0</formula>
    </cfRule>
  </conditionalFormatting>
  <conditionalFormatting sqref="C85:C86">
    <cfRule type="containsText" dxfId="619" priority="418" operator="containsText" text="withdrawal">
      <formula>NOT(ISERROR(SEARCH("withdrawal",C85)))</formula>
    </cfRule>
    <cfRule type="containsText" dxfId="618" priority="419" operator="containsText" text="receive">
      <formula>NOT(ISERROR(SEARCH("receive",C85)))</formula>
    </cfRule>
  </conditionalFormatting>
  <conditionalFormatting sqref="D92:D93">
    <cfRule type="containsText" dxfId="617" priority="411" operator="containsText" text="BTC">
      <formula>NOT(ISERROR(SEARCH("BTC",D92)))</formula>
    </cfRule>
    <cfRule type="containsText" dxfId="616" priority="412" operator="containsText" text="XRP">
      <formula>NOT(ISERROR(SEARCH("XRP",D92)))</formula>
    </cfRule>
    <cfRule type="containsText" dxfId="615" priority="413" operator="containsText" text="ADA">
      <formula>NOT(ISERROR(SEARCH("ADA",D92)))</formula>
    </cfRule>
    <cfRule type="containsText" dxfId="614" priority="414" operator="containsText" text="ETH">
      <formula>NOT(ISERROR(SEARCH("ETH",D92)))</formula>
    </cfRule>
    <cfRule type="containsText" dxfId="613" priority="415" operator="containsText" text="DOGE">
      <formula>NOT(ISERROR(SEARCH("DOGE",D92)))</formula>
    </cfRule>
    <cfRule type="containsText" dxfId="612" priority="416" operator="containsText" text="EUR">
      <formula>NOT(ISERROR(SEARCH("EUR",D92)))</formula>
    </cfRule>
  </conditionalFormatting>
  <conditionalFormatting sqref="C92:C93">
    <cfRule type="containsText" dxfId="611" priority="409" operator="containsText" text="spend">
      <formula>NOT(ISERROR(SEARCH("spend",C92)))</formula>
    </cfRule>
    <cfRule type="containsText" dxfId="610" priority="410" operator="containsText" text="deposit">
      <formula>NOT(ISERROR(SEARCH("deposit",C92)))</formula>
    </cfRule>
    <cfRule type="containsText" dxfId="609" priority="417" operator="containsText" text="trade">
      <formula>NOT(ISERROR(SEARCH("trade",C92)))</formula>
    </cfRule>
  </conditionalFormatting>
  <conditionalFormatting sqref="E92:E93">
    <cfRule type="cellIs" dxfId="608" priority="408" operator="lessThan">
      <formula>0</formula>
    </cfRule>
  </conditionalFormatting>
  <conditionalFormatting sqref="C92:C93">
    <cfRule type="containsText" dxfId="607" priority="406" operator="containsText" text="withdrawal">
      <formula>NOT(ISERROR(SEARCH("withdrawal",C92)))</formula>
    </cfRule>
    <cfRule type="containsText" dxfId="606" priority="407" operator="containsText" text="receive">
      <formula>NOT(ISERROR(SEARCH("receive",C92)))</formula>
    </cfRule>
  </conditionalFormatting>
  <conditionalFormatting sqref="O23">
    <cfRule type="containsText" dxfId="605" priority="395" operator="containsText" text="withdrawal">
      <formula>NOT(ISERROR(SEARCH("withdrawal",O23)))</formula>
    </cfRule>
    <cfRule type="containsText" dxfId="604" priority="396" operator="containsText" text="receive">
      <formula>NOT(ISERROR(SEARCH("receive",O23)))</formula>
    </cfRule>
  </conditionalFormatting>
  <conditionalFormatting sqref="O16">
    <cfRule type="containsText" dxfId="603" priority="393" operator="containsText" text="withdrawal">
      <formula>NOT(ISERROR(SEARCH("withdrawal",O16)))</formula>
    </cfRule>
    <cfRule type="containsText" dxfId="602" priority="394" operator="containsText" text="receive">
      <formula>NOT(ISERROR(SEARCH("receive",O16)))</formula>
    </cfRule>
  </conditionalFormatting>
  <conditionalFormatting sqref="P20:P21">
    <cfRule type="containsText" dxfId="601" priority="378" operator="containsText" text="eur">
      <formula>NOT(ISERROR(SEARCH("eur",P20)))</formula>
    </cfRule>
  </conditionalFormatting>
  <conditionalFormatting sqref="O20:O21">
    <cfRule type="containsText" dxfId="600" priority="390" operator="containsText" text="spend">
      <formula>NOT(ISERROR(SEARCH("spend",O20)))</formula>
    </cfRule>
    <cfRule type="containsText" dxfId="599" priority="391" operator="containsText" text="deposit">
      <formula>NOT(ISERROR(SEARCH("deposit",O20)))</formula>
    </cfRule>
  </conditionalFormatting>
  <conditionalFormatting sqref="Q20:Q21 V21">
    <cfRule type="cellIs" dxfId="598" priority="389" operator="lessThan">
      <formula>0</formula>
    </cfRule>
  </conditionalFormatting>
  <conditionalFormatting sqref="O20:O21">
    <cfRule type="containsText" dxfId="597" priority="387" operator="containsText" text="withdrawal">
      <formula>NOT(ISERROR(SEARCH("withdrawal",O20)))</formula>
    </cfRule>
    <cfRule type="containsText" dxfId="596" priority="388" operator="containsText" text="receive">
      <formula>NOT(ISERROR(SEARCH("receive",O20)))</formula>
    </cfRule>
  </conditionalFormatting>
  <conditionalFormatting sqref="D71">
    <cfRule type="containsText" dxfId="595" priority="371" operator="containsText" text="BTC">
      <formula>NOT(ISERROR(SEARCH("BTC",D71)))</formula>
    </cfRule>
    <cfRule type="containsText" dxfId="594" priority="372" operator="containsText" text="XRP">
      <formula>NOT(ISERROR(SEARCH("XRP",D71)))</formula>
    </cfRule>
    <cfRule type="containsText" dxfId="593" priority="373" operator="containsText" text="ADA">
      <formula>NOT(ISERROR(SEARCH("ADA",D71)))</formula>
    </cfRule>
    <cfRule type="containsText" dxfId="592" priority="374" operator="containsText" text="ETH">
      <formula>NOT(ISERROR(SEARCH("ETH",D71)))</formula>
    </cfRule>
    <cfRule type="containsText" dxfId="591" priority="375" operator="containsText" text="DOGE">
      <formula>NOT(ISERROR(SEARCH("DOGE",D71)))</formula>
    </cfRule>
    <cfRule type="containsText" dxfId="590" priority="376" operator="containsText" text="EUR">
      <formula>NOT(ISERROR(SEARCH("EUR",D71)))</formula>
    </cfRule>
  </conditionalFormatting>
  <conditionalFormatting sqref="C71">
    <cfRule type="containsText" dxfId="589" priority="369" operator="containsText" text="spend">
      <formula>NOT(ISERROR(SEARCH("spend",C71)))</formula>
    </cfRule>
    <cfRule type="containsText" dxfId="588" priority="370" operator="containsText" text="deposit">
      <formula>NOT(ISERROR(SEARCH("deposit",C71)))</formula>
    </cfRule>
    <cfRule type="containsText" dxfId="587" priority="377" operator="containsText" text="trade">
      <formula>NOT(ISERROR(SEARCH("trade",C71)))</formula>
    </cfRule>
  </conditionalFormatting>
  <conditionalFormatting sqref="E71">
    <cfRule type="cellIs" dxfId="586" priority="368" operator="lessThan">
      <formula>0</formula>
    </cfRule>
  </conditionalFormatting>
  <conditionalFormatting sqref="C71">
    <cfRule type="containsText" dxfId="585" priority="366" operator="containsText" text="withdrawal">
      <formula>NOT(ISERROR(SEARCH("withdrawal",C71)))</formula>
    </cfRule>
    <cfRule type="containsText" dxfId="584" priority="367" operator="containsText" text="receive">
      <formula>NOT(ISERROR(SEARCH("receive",C71)))</formula>
    </cfRule>
  </conditionalFormatting>
  <conditionalFormatting sqref="D18">
    <cfRule type="containsText" dxfId="583" priority="351" operator="containsText" text="eur">
      <formula>NOT(ISERROR(SEARCH("eur",D18)))</formula>
    </cfRule>
  </conditionalFormatting>
  <conditionalFormatting sqref="C18">
    <cfRule type="containsText" dxfId="582" priority="363" operator="containsText" text="spend">
      <formula>NOT(ISERROR(SEARCH("spend",C18)))</formula>
    </cfRule>
    <cfRule type="containsText" dxfId="581" priority="364" operator="containsText" text="deposit">
      <formula>NOT(ISERROR(SEARCH("deposit",C18)))</formula>
    </cfRule>
  </conditionalFormatting>
  <conditionalFormatting sqref="E18 G18:H18 J18">
    <cfRule type="cellIs" dxfId="580" priority="362" operator="lessThan">
      <formula>0</formula>
    </cfRule>
  </conditionalFormatting>
  <conditionalFormatting sqref="C18">
    <cfRule type="containsText" dxfId="579" priority="360" operator="containsText" text="withdrawal">
      <formula>NOT(ISERROR(SEARCH("withdrawal",C18)))</formula>
    </cfRule>
    <cfRule type="containsText" dxfId="578" priority="361" operator="containsText" text="receive">
      <formula>NOT(ISERROR(SEARCH("receive",C18)))</formula>
    </cfRule>
  </conditionalFormatting>
  <conditionalFormatting sqref="P25:P26">
    <cfRule type="containsText" dxfId="577" priority="336" operator="containsText" text="eur">
      <formula>NOT(ISERROR(SEARCH("eur",P25)))</formula>
    </cfRule>
  </conditionalFormatting>
  <conditionalFormatting sqref="O25:O26">
    <cfRule type="containsText" dxfId="576" priority="348" operator="containsText" text="spend">
      <formula>NOT(ISERROR(SEARCH("spend",O25)))</formula>
    </cfRule>
    <cfRule type="containsText" dxfId="575" priority="349" operator="containsText" text="deposit">
      <formula>NOT(ISERROR(SEARCH("deposit",O25)))</formula>
    </cfRule>
  </conditionalFormatting>
  <conditionalFormatting sqref="Q25:Q26">
    <cfRule type="cellIs" dxfId="574" priority="347" operator="lessThan">
      <formula>0</formula>
    </cfRule>
  </conditionalFormatting>
  <conditionalFormatting sqref="O25:O26">
    <cfRule type="containsText" dxfId="573" priority="345" operator="containsText" text="withdrawal">
      <formula>NOT(ISERROR(SEARCH("withdrawal",O25)))</formula>
    </cfRule>
    <cfRule type="containsText" dxfId="572" priority="346" operator="containsText" text="receive">
      <formula>NOT(ISERROR(SEARCH("receive",O25)))</formula>
    </cfRule>
  </conditionalFormatting>
  <conditionalFormatting sqref="P30:P31">
    <cfRule type="containsText" dxfId="571" priority="321" operator="containsText" text="eur">
      <formula>NOT(ISERROR(SEARCH("eur",P30)))</formula>
    </cfRule>
  </conditionalFormatting>
  <conditionalFormatting sqref="O30:O31">
    <cfRule type="containsText" dxfId="570" priority="333" operator="containsText" text="spend">
      <formula>NOT(ISERROR(SEARCH("spend",O30)))</formula>
    </cfRule>
    <cfRule type="containsText" dxfId="569" priority="334" operator="containsText" text="deposit">
      <formula>NOT(ISERROR(SEARCH("deposit",O30)))</formula>
    </cfRule>
  </conditionalFormatting>
  <conditionalFormatting sqref="Q30:Q31 V31 S30">
    <cfRule type="cellIs" dxfId="568" priority="332" operator="lessThan">
      <formula>0</formula>
    </cfRule>
  </conditionalFormatting>
  <conditionalFormatting sqref="O30:O31">
    <cfRule type="containsText" dxfId="567" priority="330" operator="containsText" text="withdrawal">
      <formula>NOT(ISERROR(SEARCH("withdrawal",O30)))</formula>
    </cfRule>
    <cfRule type="containsText" dxfId="566" priority="331" operator="containsText" text="receive">
      <formula>NOT(ISERROR(SEARCH("receive",O30)))</formula>
    </cfRule>
  </conditionalFormatting>
  <conditionalFormatting sqref="P45:P46">
    <cfRule type="containsText" dxfId="565" priority="306" operator="containsText" text="eur">
      <formula>NOT(ISERROR(SEARCH("eur",P45)))</formula>
    </cfRule>
  </conditionalFormatting>
  <conditionalFormatting sqref="O45:O46">
    <cfRule type="containsText" dxfId="564" priority="318" operator="containsText" text="spend">
      <formula>NOT(ISERROR(SEARCH("spend",O45)))</formula>
    </cfRule>
    <cfRule type="containsText" dxfId="563" priority="319" operator="containsText" text="deposit">
      <formula>NOT(ISERROR(SEARCH("deposit",O45)))</formula>
    </cfRule>
  </conditionalFormatting>
  <conditionalFormatting sqref="Q45:Q46">
    <cfRule type="cellIs" dxfId="562" priority="317" operator="lessThan">
      <formula>0</formula>
    </cfRule>
  </conditionalFormatting>
  <conditionalFormatting sqref="O45:O46">
    <cfRule type="containsText" dxfId="561" priority="315" operator="containsText" text="withdrawal">
      <formula>NOT(ISERROR(SEARCH("withdrawal",O45)))</formula>
    </cfRule>
    <cfRule type="containsText" dxfId="560" priority="316" operator="containsText" text="receive">
      <formula>NOT(ISERROR(SEARCH("receive",O45)))</formula>
    </cfRule>
  </conditionalFormatting>
  <conditionalFormatting sqref="P50:P51">
    <cfRule type="containsText" dxfId="559" priority="291" operator="containsText" text="eur">
      <formula>NOT(ISERROR(SEARCH("eur",P50)))</formula>
    </cfRule>
  </conditionalFormatting>
  <conditionalFormatting sqref="O50:O51">
    <cfRule type="containsText" dxfId="558" priority="303" operator="containsText" text="spend">
      <formula>NOT(ISERROR(SEARCH("spend",O50)))</formula>
    </cfRule>
    <cfRule type="containsText" dxfId="557" priority="304" operator="containsText" text="deposit">
      <formula>NOT(ISERROR(SEARCH("deposit",O50)))</formula>
    </cfRule>
  </conditionalFormatting>
  <conditionalFormatting sqref="Q50:Q51">
    <cfRule type="cellIs" dxfId="556" priority="302" operator="lessThan">
      <formula>0</formula>
    </cfRule>
  </conditionalFormatting>
  <conditionalFormatting sqref="O50:O51">
    <cfRule type="containsText" dxfId="555" priority="300" operator="containsText" text="withdrawal">
      <formula>NOT(ISERROR(SEARCH("withdrawal",O50)))</formula>
    </cfRule>
    <cfRule type="containsText" dxfId="554" priority="301" operator="containsText" text="receive">
      <formula>NOT(ISERROR(SEARCH("receive",O50)))</formula>
    </cfRule>
  </conditionalFormatting>
  <conditionalFormatting sqref="P55:P56">
    <cfRule type="containsText" dxfId="553" priority="276" operator="containsText" text="eur">
      <formula>NOT(ISERROR(SEARCH("eur",P55)))</formula>
    </cfRule>
  </conditionalFormatting>
  <conditionalFormatting sqref="O55:O56">
    <cfRule type="containsText" dxfId="552" priority="288" operator="containsText" text="spend">
      <formula>NOT(ISERROR(SEARCH("spend",O55)))</formula>
    </cfRule>
    <cfRule type="containsText" dxfId="551" priority="289" operator="containsText" text="deposit">
      <formula>NOT(ISERROR(SEARCH("deposit",O55)))</formula>
    </cfRule>
  </conditionalFormatting>
  <conditionalFormatting sqref="Q55:Q56">
    <cfRule type="cellIs" dxfId="550" priority="287" operator="lessThan">
      <formula>0</formula>
    </cfRule>
  </conditionalFormatting>
  <conditionalFormatting sqref="O55:O56">
    <cfRule type="containsText" dxfId="549" priority="285" operator="containsText" text="withdrawal">
      <formula>NOT(ISERROR(SEARCH("withdrawal",O55)))</formula>
    </cfRule>
    <cfRule type="containsText" dxfId="548" priority="286" operator="containsText" text="receive">
      <formula>NOT(ISERROR(SEARCH("receive",O55)))</formula>
    </cfRule>
  </conditionalFormatting>
  <conditionalFormatting sqref="P60:P61">
    <cfRule type="containsText" dxfId="547" priority="261" operator="containsText" text="eur">
      <formula>NOT(ISERROR(SEARCH("eur",P60)))</formula>
    </cfRule>
  </conditionalFormatting>
  <conditionalFormatting sqref="O60:O61">
    <cfRule type="containsText" dxfId="546" priority="273" operator="containsText" text="spend">
      <formula>NOT(ISERROR(SEARCH("spend",O60)))</formula>
    </cfRule>
    <cfRule type="containsText" dxfId="545" priority="274" operator="containsText" text="deposit">
      <formula>NOT(ISERROR(SEARCH("deposit",O60)))</formula>
    </cfRule>
  </conditionalFormatting>
  <conditionalFormatting sqref="Q60:Q61">
    <cfRule type="cellIs" dxfId="544" priority="272" operator="lessThan">
      <formula>0</formula>
    </cfRule>
  </conditionalFormatting>
  <conditionalFormatting sqref="O60:O61">
    <cfRule type="containsText" dxfId="543" priority="270" operator="containsText" text="withdrawal">
      <formula>NOT(ISERROR(SEARCH("withdrawal",O60)))</formula>
    </cfRule>
    <cfRule type="containsText" dxfId="542" priority="271" operator="containsText" text="receive">
      <formula>NOT(ISERROR(SEARCH("receive",O60)))</formula>
    </cfRule>
  </conditionalFormatting>
  <conditionalFormatting sqref="P76:P77">
    <cfRule type="containsText" dxfId="541" priority="246" operator="containsText" text="eur">
      <formula>NOT(ISERROR(SEARCH("eur",P76)))</formula>
    </cfRule>
  </conditionalFormatting>
  <conditionalFormatting sqref="O76:O77">
    <cfRule type="containsText" dxfId="540" priority="258" operator="containsText" text="spend">
      <formula>NOT(ISERROR(SEARCH("spend",O76)))</formula>
    </cfRule>
    <cfRule type="containsText" dxfId="539" priority="259" operator="containsText" text="deposit">
      <formula>NOT(ISERROR(SEARCH("deposit",O76)))</formula>
    </cfRule>
  </conditionalFormatting>
  <conditionalFormatting sqref="Q76:Q77">
    <cfRule type="cellIs" dxfId="538" priority="257" operator="lessThan">
      <formula>0</formula>
    </cfRule>
  </conditionalFormatting>
  <conditionalFormatting sqref="O76:O77">
    <cfRule type="containsText" dxfId="537" priority="255" operator="containsText" text="withdrawal">
      <formula>NOT(ISERROR(SEARCH("withdrawal",O76)))</formula>
    </cfRule>
    <cfRule type="containsText" dxfId="536" priority="256" operator="containsText" text="receive">
      <formula>NOT(ISERROR(SEARCH("receive",O76)))</formula>
    </cfRule>
  </conditionalFormatting>
  <conditionalFormatting sqref="P81:P82">
    <cfRule type="containsText" dxfId="535" priority="231" operator="containsText" text="eur">
      <formula>NOT(ISERROR(SEARCH("eur",P81)))</formula>
    </cfRule>
  </conditionalFormatting>
  <conditionalFormatting sqref="O81:O82">
    <cfRule type="containsText" dxfId="534" priority="243" operator="containsText" text="spend">
      <formula>NOT(ISERROR(SEARCH("spend",O81)))</formula>
    </cfRule>
    <cfRule type="containsText" dxfId="533" priority="244" operator="containsText" text="deposit">
      <formula>NOT(ISERROR(SEARCH("deposit",O81)))</formula>
    </cfRule>
  </conditionalFormatting>
  <conditionalFormatting sqref="Q81:Q82">
    <cfRule type="cellIs" dxfId="532" priority="242" operator="lessThan">
      <formula>0</formula>
    </cfRule>
  </conditionalFormatting>
  <conditionalFormatting sqref="O81:O82">
    <cfRule type="containsText" dxfId="531" priority="240" operator="containsText" text="withdrawal">
      <formula>NOT(ISERROR(SEARCH("withdrawal",O81)))</formula>
    </cfRule>
    <cfRule type="containsText" dxfId="530" priority="241" operator="containsText" text="receive">
      <formula>NOT(ISERROR(SEARCH("receive",O81)))</formula>
    </cfRule>
  </conditionalFormatting>
  <conditionalFormatting sqref="P86:P87">
    <cfRule type="containsText" dxfId="529" priority="216" operator="containsText" text="eur">
      <formula>NOT(ISERROR(SEARCH("eur",P86)))</formula>
    </cfRule>
  </conditionalFormatting>
  <conditionalFormatting sqref="O86:O87">
    <cfRule type="containsText" dxfId="528" priority="228" operator="containsText" text="spend">
      <formula>NOT(ISERROR(SEARCH("spend",O86)))</formula>
    </cfRule>
    <cfRule type="containsText" dxfId="527" priority="229" operator="containsText" text="deposit">
      <formula>NOT(ISERROR(SEARCH("deposit",O86)))</formula>
    </cfRule>
  </conditionalFormatting>
  <conditionalFormatting sqref="Q86:Q87">
    <cfRule type="cellIs" dxfId="526" priority="227" operator="lessThan">
      <formula>0</formula>
    </cfRule>
  </conditionalFormatting>
  <conditionalFormatting sqref="O86:O87">
    <cfRule type="containsText" dxfId="525" priority="225" operator="containsText" text="withdrawal">
      <formula>NOT(ISERROR(SEARCH("withdrawal",O86)))</formula>
    </cfRule>
    <cfRule type="containsText" dxfId="524" priority="226" operator="containsText" text="receive">
      <formula>NOT(ISERROR(SEARCH("receive",O86)))</formula>
    </cfRule>
  </conditionalFormatting>
  <conditionalFormatting sqref="P91:P92">
    <cfRule type="containsText" dxfId="523" priority="201" operator="containsText" text="eur">
      <formula>NOT(ISERROR(SEARCH("eur",P91)))</formula>
    </cfRule>
  </conditionalFormatting>
  <conditionalFormatting sqref="O91:O92">
    <cfRule type="containsText" dxfId="522" priority="213" operator="containsText" text="spend">
      <formula>NOT(ISERROR(SEARCH("spend",O91)))</formula>
    </cfRule>
    <cfRule type="containsText" dxfId="521" priority="214" operator="containsText" text="deposit">
      <formula>NOT(ISERROR(SEARCH("deposit",O91)))</formula>
    </cfRule>
  </conditionalFormatting>
  <conditionalFormatting sqref="Q91:Q92">
    <cfRule type="cellIs" dxfId="520" priority="212" operator="lessThan">
      <formula>0</formula>
    </cfRule>
  </conditionalFormatting>
  <conditionalFormatting sqref="O91:O92">
    <cfRule type="containsText" dxfId="519" priority="210" operator="containsText" text="withdrawal">
      <formula>NOT(ISERROR(SEARCH("withdrawal",O91)))</formula>
    </cfRule>
    <cfRule type="containsText" dxfId="518" priority="211" operator="containsText" text="receive">
      <formula>NOT(ISERROR(SEARCH("receive",O91)))</formula>
    </cfRule>
  </conditionalFormatting>
  <conditionalFormatting sqref="S25">
    <cfRule type="cellIs" dxfId="517" priority="200" operator="lessThan">
      <formula>0</formula>
    </cfRule>
  </conditionalFormatting>
  <conditionalFormatting sqref="S20">
    <cfRule type="cellIs" dxfId="516" priority="199" operator="lessThan">
      <formula>0</formula>
    </cfRule>
  </conditionalFormatting>
  <conditionalFormatting sqref="V92">
    <cfRule type="cellIs" dxfId="515" priority="196" operator="lessThan">
      <formula>0</formula>
    </cfRule>
  </conditionalFormatting>
  <conditionalFormatting sqref="D45:D46">
    <cfRule type="containsText" dxfId="514" priority="189" operator="containsText" text="BTC">
      <formula>NOT(ISERROR(SEARCH("BTC",D45)))</formula>
    </cfRule>
    <cfRule type="containsText" dxfId="513" priority="190" operator="containsText" text="XRP">
      <formula>NOT(ISERROR(SEARCH("XRP",D45)))</formula>
    </cfRule>
    <cfRule type="containsText" dxfId="512" priority="191" operator="containsText" text="ADA">
      <formula>NOT(ISERROR(SEARCH("ADA",D45)))</formula>
    </cfRule>
    <cfRule type="containsText" dxfId="511" priority="192" operator="containsText" text="ETH">
      <formula>NOT(ISERROR(SEARCH("ETH",D45)))</formula>
    </cfRule>
    <cfRule type="containsText" dxfId="510" priority="193" operator="containsText" text="DOGE">
      <formula>NOT(ISERROR(SEARCH("DOGE",D45)))</formula>
    </cfRule>
    <cfRule type="containsText" dxfId="509" priority="194" operator="containsText" text="EUR">
      <formula>NOT(ISERROR(SEARCH("EUR",D45)))</formula>
    </cfRule>
  </conditionalFormatting>
  <conditionalFormatting sqref="C45:C46">
    <cfRule type="containsText" dxfId="508" priority="187" operator="containsText" text="spend">
      <formula>NOT(ISERROR(SEARCH("spend",C45)))</formula>
    </cfRule>
    <cfRule type="containsText" dxfId="507" priority="188" operator="containsText" text="deposit">
      <formula>NOT(ISERROR(SEARCH("deposit",C45)))</formula>
    </cfRule>
    <cfRule type="containsText" dxfId="506" priority="195" operator="containsText" text="trade">
      <formula>NOT(ISERROR(SEARCH("trade",C45)))</formula>
    </cfRule>
  </conditionalFormatting>
  <conditionalFormatting sqref="E45:E46">
    <cfRule type="cellIs" dxfId="505" priority="186" operator="lessThan">
      <formula>0</formula>
    </cfRule>
  </conditionalFormatting>
  <conditionalFormatting sqref="C45:C46">
    <cfRule type="containsText" dxfId="504" priority="184" operator="containsText" text="withdrawal">
      <formula>NOT(ISERROR(SEARCH("withdrawal",C45)))</formula>
    </cfRule>
    <cfRule type="containsText" dxfId="503" priority="185" operator="containsText" text="receive">
      <formula>NOT(ISERROR(SEARCH("receive",C45)))</formula>
    </cfRule>
  </conditionalFormatting>
  <conditionalFormatting sqref="G41">
    <cfRule type="cellIs" dxfId="502" priority="182" operator="lessThan">
      <formula>0</formula>
    </cfRule>
  </conditionalFormatting>
  <conditionalFormatting sqref="H41">
    <cfRule type="cellIs" dxfId="501" priority="178" operator="lessThan">
      <formula>0</formula>
    </cfRule>
  </conditionalFormatting>
  <conditionalFormatting sqref="H86">
    <cfRule type="cellIs" dxfId="500" priority="171" operator="lessThan">
      <formula>0</formula>
    </cfRule>
  </conditionalFormatting>
  <conditionalFormatting sqref="H93">
    <cfRule type="cellIs" dxfId="499" priority="170" operator="lessThan">
      <formula>0</formula>
    </cfRule>
  </conditionalFormatting>
  <conditionalFormatting sqref="H92">
    <cfRule type="cellIs" dxfId="498" priority="169" operator="lessThan">
      <formula>0</formula>
    </cfRule>
  </conditionalFormatting>
  <conditionalFormatting sqref="H85">
    <cfRule type="cellIs" dxfId="497" priority="168" operator="lessThan">
      <formula>0</formula>
    </cfRule>
  </conditionalFormatting>
  <conditionalFormatting sqref="G59">
    <cfRule type="cellIs" dxfId="496" priority="164" operator="lessThan">
      <formula>0</formula>
    </cfRule>
  </conditionalFormatting>
  <conditionalFormatting sqref="G60">
    <cfRule type="cellIs" dxfId="495" priority="163" operator="lessThan">
      <formula>0</formula>
    </cfRule>
  </conditionalFormatting>
  <conditionalFormatting sqref="G71">
    <cfRule type="cellIs" dxfId="494" priority="162" operator="lessThan">
      <formula>0</formula>
    </cfRule>
  </conditionalFormatting>
  <conditionalFormatting sqref="G85">
    <cfRule type="cellIs" dxfId="493" priority="161" operator="lessThan">
      <formula>0</formula>
    </cfRule>
  </conditionalFormatting>
  <conditionalFormatting sqref="G86">
    <cfRule type="cellIs" dxfId="492" priority="160" operator="lessThan">
      <formula>0</formula>
    </cfRule>
  </conditionalFormatting>
  <conditionalFormatting sqref="G92">
    <cfRule type="cellIs" dxfId="491" priority="159" operator="lessThan">
      <formula>0</formula>
    </cfRule>
  </conditionalFormatting>
  <conditionalFormatting sqref="G93">
    <cfRule type="cellIs" dxfId="490" priority="158" operator="lessThan">
      <formula>0</formula>
    </cfRule>
  </conditionalFormatting>
  <conditionalFormatting sqref="T77">
    <cfRule type="cellIs" dxfId="489" priority="156" operator="lessThan">
      <formula>0</formula>
    </cfRule>
  </conditionalFormatting>
  <conditionalFormatting sqref="T86">
    <cfRule type="cellIs" dxfId="488" priority="154" operator="lessThan">
      <formula>0</formula>
    </cfRule>
  </conditionalFormatting>
  <conditionalFormatting sqref="T91">
    <cfRule type="cellIs" dxfId="487" priority="153" operator="lessThan">
      <formula>0</formula>
    </cfRule>
  </conditionalFormatting>
  <conditionalFormatting sqref="S60">
    <cfRule type="cellIs" dxfId="486" priority="144" operator="lessThan">
      <formula>0</formula>
    </cfRule>
  </conditionalFormatting>
  <conditionalFormatting sqref="S68">
    <cfRule type="cellIs" dxfId="485" priority="143" operator="lessThan">
      <formula>0</formula>
    </cfRule>
  </conditionalFormatting>
  <conditionalFormatting sqref="S71">
    <cfRule type="cellIs" dxfId="484" priority="142" operator="lessThan">
      <formula>0</formula>
    </cfRule>
  </conditionalFormatting>
  <conditionalFormatting sqref="S76">
    <cfRule type="cellIs" dxfId="483" priority="141" operator="lessThan">
      <formula>0</formula>
    </cfRule>
  </conditionalFormatting>
  <conditionalFormatting sqref="S81">
    <cfRule type="cellIs" dxfId="482" priority="140" operator="lessThan">
      <formula>0</formula>
    </cfRule>
  </conditionalFormatting>
  <conditionalFormatting sqref="S86">
    <cfRule type="cellIs" dxfId="481" priority="139" operator="lessThan">
      <formula>0</formula>
    </cfRule>
  </conditionalFormatting>
  <conditionalFormatting sqref="S91">
    <cfRule type="cellIs" dxfId="480" priority="138" operator="lessThan">
      <formula>0</formula>
    </cfRule>
  </conditionalFormatting>
  <conditionalFormatting sqref="T30">
    <cfRule type="cellIs" dxfId="479" priority="137" operator="lessThan">
      <formula>0</formula>
    </cfRule>
  </conditionalFormatting>
  <conditionalFormatting sqref="T25">
    <cfRule type="cellIs" dxfId="478" priority="136" operator="lessThan">
      <formula>0</formula>
    </cfRule>
  </conditionalFormatting>
  <conditionalFormatting sqref="T20">
    <cfRule type="cellIs" dxfId="477" priority="135" operator="lessThan">
      <formula>0</formula>
    </cfRule>
  </conditionalFormatting>
  <conditionalFormatting sqref="D64:D65">
    <cfRule type="containsText" dxfId="476" priority="128" operator="containsText" text="BTC">
      <formula>NOT(ISERROR(SEARCH("BTC",D64)))</formula>
    </cfRule>
    <cfRule type="containsText" dxfId="475" priority="129" operator="containsText" text="XRP">
      <formula>NOT(ISERROR(SEARCH("XRP",D64)))</formula>
    </cfRule>
    <cfRule type="containsText" dxfId="474" priority="130" operator="containsText" text="ADA">
      <formula>NOT(ISERROR(SEARCH("ADA",D64)))</formula>
    </cfRule>
    <cfRule type="containsText" dxfId="473" priority="131" operator="containsText" text="ETH">
      <formula>NOT(ISERROR(SEARCH("ETH",D64)))</formula>
    </cfRule>
    <cfRule type="containsText" dxfId="472" priority="132" operator="containsText" text="DOGE">
      <formula>NOT(ISERROR(SEARCH("DOGE",D64)))</formula>
    </cfRule>
    <cfRule type="containsText" dxfId="471" priority="133" operator="containsText" text="EUR">
      <formula>NOT(ISERROR(SEARCH("EUR",D64)))</formula>
    </cfRule>
  </conditionalFormatting>
  <conditionalFormatting sqref="C64:C65">
    <cfRule type="containsText" dxfId="470" priority="126" operator="containsText" text="spend">
      <formula>NOT(ISERROR(SEARCH("spend",C64)))</formula>
    </cfRule>
    <cfRule type="containsText" dxfId="469" priority="127" operator="containsText" text="deposit">
      <formula>NOT(ISERROR(SEARCH("deposit",C64)))</formula>
    </cfRule>
    <cfRule type="containsText" dxfId="468" priority="134" operator="containsText" text="trade">
      <formula>NOT(ISERROR(SEARCH("trade",C64)))</formula>
    </cfRule>
  </conditionalFormatting>
  <conditionalFormatting sqref="E64:E65">
    <cfRule type="cellIs" dxfId="467" priority="125" operator="lessThan">
      <formula>0</formula>
    </cfRule>
  </conditionalFormatting>
  <conditionalFormatting sqref="C64:C65">
    <cfRule type="containsText" dxfId="466" priority="123" operator="containsText" text="withdrawal">
      <formula>NOT(ISERROR(SEARCH("withdrawal",C64)))</formula>
    </cfRule>
    <cfRule type="containsText" dxfId="465" priority="124" operator="containsText" text="receive">
      <formula>NOT(ISERROR(SEARCH("receive",C64)))</formula>
    </cfRule>
  </conditionalFormatting>
  <conditionalFormatting sqref="G64">
    <cfRule type="cellIs" dxfId="464" priority="120" operator="lessThan">
      <formula>0</formula>
    </cfRule>
  </conditionalFormatting>
  <conditionalFormatting sqref="G65">
    <cfRule type="cellIs" dxfId="463" priority="119" operator="lessThan">
      <formula>0</formula>
    </cfRule>
  </conditionalFormatting>
  <conditionalFormatting sqref="D75:D76">
    <cfRule type="containsText" dxfId="462" priority="112" operator="containsText" text="BTC">
      <formula>NOT(ISERROR(SEARCH("BTC",D75)))</formula>
    </cfRule>
    <cfRule type="containsText" dxfId="461" priority="113" operator="containsText" text="XRP">
      <formula>NOT(ISERROR(SEARCH("XRP",D75)))</formula>
    </cfRule>
    <cfRule type="containsText" dxfId="460" priority="114" operator="containsText" text="ADA">
      <formula>NOT(ISERROR(SEARCH("ADA",D75)))</formula>
    </cfRule>
    <cfRule type="containsText" dxfId="459" priority="115" operator="containsText" text="ETH">
      <formula>NOT(ISERROR(SEARCH("ETH",D75)))</formula>
    </cfRule>
    <cfRule type="containsText" dxfId="458" priority="116" operator="containsText" text="DOGE">
      <formula>NOT(ISERROR(SEARCH("DOGE",D75)))</formula>
    </cfRule>
    <cfRule type="containsText" dxfId="457" priority="117" operator="containsText" text="EUR">
      <formula>NOT(ISERROR(SEARCH("EUR",D75)))</formula>
    </cfRule>
  </conditionalFormatting>
  <conditionalFormatting sqref="C75:C76">
    <cfRule type="containsText" dxfId="456" priority="110" operator="containsText" text="spend">
      <formula>NOT(ISERROR(SEARCH("spend",C75)))</formula>
    </cfRule>
    <cfRule type="containsText" dxfId="455" priority="111" operator="containsText" text="deposit">
      <formula>NOT(ISERROR(SEARCH("deposit",C75)))</formula>
    </cfRule>
    <cfRule type="containsText" dxfId="454" priority="118" operator="containsText" text="trade">
      <formula>NOT(ISERROR(SEARCH("trade",C75)))</formula>
    </cfRule>
  </conditionalFormatting>
  <conditionalFormatting sqref="E75:E76">
    <cfRule type="cellIs" dxfId="453" priority="109" operator="lessThan">
      <formula>0</formula>
    </cfRule>
  </conditionalFormatting>
  <conditionalFormatting sqref="C75:C76">
    <cfRule type="containsText" dxfId="452" priority="107" operator="containsText" text="withdrawal">
      <formula>NOT(ISERROR(SEARCH("withdrawal",C75)))</formula>
    </cfRule>
    <cfRule type="containsText" dxfId="451" priority="108" operator="containsText" text="receive">
      <formula>NOT(ISERROR(SEARCH("receive",C75)))</formula>
    </cfRule>
  </conditionalFormatting>
  <conditionalFormatting sqref="G75">
    <cfRule type="cellIs" dxfId="450" priority="104" operator="lessThan">
      <formula>0</formula>
    </cfRule>
  </conditionalFormatting>
  <conditionalFormatting sqref="G76">
    <cfRule type="cellIs" dxfId="449" priority="103" operator="lessThan">
      <formula>0</formula>
    </cfRule>
  </conditionalFormatting>
  <conditionalFormatting sqref="D80:D81">
    <cfRule type="containsText" dxfId="448" priority="96" operator="containsText" text="BTC">
      <formula>NOT(ISERROR(SEARCH("BTC",D80)))</formula>
    </cfRule>
    <cfRule type="containsText" dxfId="447" priority="97" operator="containsText" text="XRP">
      <formula>NOT(ISERROR(SEARCH("XRP",D80)))</formula>
    </cfRule>
    <cfRule type="containsText" dxfId="446" priority="98" operator="containsText" text="ADA">
      <formula>NOT(ISERROR(SEARCH("ADA",D80)))</formula>
    </cfRule>
    <cfRule type="containsText" dxfId="445" priority="99" operator="containsText" text="ETH">
      <formula>NOT(ISERROR(SEARCH("ETH",D80)))</formula>
    </cfRule>
    <cfRule type="containsText" dxfId="444" priority="100" operator="containsText" text="DOGE">
      <formula>NOT(ISERROR(SEARCH("DOGE",D80)))</formula>
    </cfRule>
    <cfRule type="containsText" dxfId="443" priority="101" operator="containsText" text="EUR">
      <formula>NOT(ISERROR(SEARCH("EUR",D80)))</formula>
    </cfRule>
  </conditionalFormatting>
  <conditionalFormatting sqref="C80:C81">
    <cfRule type="containsText" dxfId="442" priority="94" operator="containsText" text="spend">
      <formula>NOT(ISERROR(SEARCH("spend",C80)))</formula>
    </cfRule>
    <cfRule type="containsText" dxfId="441" priority="95" operator="containsText" text="deposit">
      <formula>NOT(ISERROR(SEARCH("deposit",C80)))</formula>
    </cfRule>
    <cfRule type="containsText" dxfId="440" priority="102" operator="containsText" text="trade">
      <formula>NOT(ISERROR(SEARCH("trade",C80)))</formula>
    </cfRule>
  </conditionalFormatting>
  <conditionalFormatting sqref="E80:E81">
    <cfRule type="cellIs" dxfId="439" priority="93" operator="lessThan">
      <formula>0</formula>
    </cfRule>
  </conditionalFormatting>
  <conditionalFormatting sqref="C80:C81">
    <cfRule type="containsText" dxfId="438" priority="91" operator="containsText" text="withdrawal">
      <formula>NOT(ISERROR(SEARCH("withdrawal",C80)))</formula>
    </cfRule>
    <cfRule type="containsText" dxfId="437" priority="92" operator="containsText" text="receive">
      <formula>NOT(ISERROR(SEARCH("receive",C80)))</formula>
    </cfRule>
  </conditionalFormatting>
  <conditionalFormatting sqref="G80">
    <cfRule type="cellIs" dxfId="436" priority="88" operator="lessThan">
      <formula>0</formula>
    </cfRule>
  </conditionalFormatting>
  <conditionalFormatting sqref="G81">
    <cfRule type="cellIs" dxfId="435" priority="87" operator="lessThan">
      <formula>0</formula>
    </cfRule>
  </conditionalFormatting>
  <conditionalFormatting sqref="J40 G40:H40">
    <cfRule type="cellIs" dxfId="434" priority="86" operator="lessThan">
      <formula>0</formula>
    </cfRule>
  </conditionalFormatting>
  <conditionalFormatting sqref="J45 G45:H45">
    <cfRule type="cellIs" dxfId="433" priority="85" operator="lessThan">
      <formula>0</formula>
    </cfRule>
  </conditionalFormatting>
  <conditionalFormatting sqref="J46 G46:H46">
    <cfRule type="cellIs" dxfId="432" priority="84" operator="lessThan">
      <formula>0</formula>
    </cfRule>
  </conditionalFormatting>
  <conditionalFormatting sqref="J52 G52:H52">
    <cfRule type="cellIs" dxfId="431" priority="83" operator="lessThan">
      <formula>0</formula>
    </cfRule>
  </conditionalFormatting>
  <conditionalFormatting sqref="J53 G53:H53">
    <cfRule type="cellIs" dxfId="430" priority="82" operator="lessThan">
      <formula>0</formula>
    </cfRule>
  </conditionalFormatting>
  <conditionalFormatting sqref="H59">
    <cfRule type="cellIs" dxfId="429" priority="81" operator="lessThan">
      <formula>0</formula>
    </cfRule>
  </conditionalFormatting>
  <conditionalFormatting sqref="J59">
    <cfRule type="cellIs" dxfId="428" priority="80" operator="lessThan">
      <formula>0</formula>
    </cfRule>
  </conditionalFormatting>
  <conditionalFormatting sqref="H60">
    <cfRule type="cellIs" dxfId="427" priority="79" operator="lessThan">
      <formula>0</formula>
    </cfRule>
  </conditionalFormatting>
  <conditionalFormatting sqref="J60">
    <cfRule type="cellIs" dxfId="426" priority="78" operator="lessThan">
      <formula>0</formula>
    </cfRule>
  </conditionalFormatting>
  <conditionalFormatting sqref="J64">
    <cfRule type="cellIs" dxfId="425" priority="77" operator="lessThan">
      <formula>0</formula>
    </cfRule>
  </conditionalFormatting>
  <conditionalFormatting sqref="J65">
    <cfRule type="cellIs" dxfId="424" priority="76" operator="lessThan">
      <formula>0</formula>
    </cfRule>
  </conditionalFormatting>
  <conditionalFormatting sqref="H64">
    <cfRule type="cellIs" dxfId="423" priority="75" operator="lessThan">
      <formula>0</formula>
    </cfRule>
  </conditionalFormatting>
  <conditionalFormatting sqref="H65">
    <cfRule type="cellIs" dxfId="422" priority="74" operator="lessThan">
      <formula>0</formula>
    </cfRule>
  </conditionalFormatting>
  <conditionalFormatting sqref="H71">
    <cfRule type="cellIs" dxfId="421" priority="73" operator="lessThan">
      <formula>0</formula>
    </cfRule>
  </conditionalFormatting>
  <conditionalFormatting sqref="J71">
    <cfRule type="cellIs" dxfId="420" priority="72" operator="lessThan">
      <formula>0</formula>
    </cfRule>
  </conditionalFormatting>
  <conditionalFormatting sqref="H75">
    <cfRule type="cellIs" dxfId="419" priority="71" operator="lessThan">
      <formula>0</formula>
    </cfRule>
  </conditionalFormatting>
  <conditionalFormatting sqref="H76">
    <cfRule type="cellIs" dxfId="418" priority="70" operator="lessThan">
      <formula>0</formula>
    </cfRule>
  </conditionalFormatting>
  <conditionalFormatting sqref="J75">
    <cfRule type="cellIs" dxfId="417" priority="69" operator="lessThan">
      <formula>0</formula>
    </cfRule>
  </conditionalFormatting>
  <conditionalFormatting sqref="J76">
    <cfRule type="cellIs" dxfId="416" priority="68" operator="lessThan">
      <formula>0</formula>
    </cfRule>
  </conditionalFormatting>
  <conditionalFormatting sqref="H80">
    <cfRule type="cellIs" dxfId="415" priority="67" operator="lessThan">
      <formula>0</formula>
    </cfRule>
  </conditionalFormatting>
  <conditionalFormatting sqref="H81">
    <cfRule type="cellIs" dxfId="414" priority="66" operator="lessThan">
      <formula>0</formula>
    </cfRule>
  </conditionalFormatting>
  <conditionalFormatting sqref="J80">
    <cfRule type="cellIs" dxfId="413" priority="65" operator="lessThan">
      <formula>0</formula>
    </cfRule>
  </conditionalFormatting>
  <conditionalFormatting sqref="J81">
    <cfRule type="cellIs" dxfId="412" priority="64" operator="lessThan">
      <formula>0</formula>
    </cfRule>
  </conditionalFormatting>
  <conditionalFormatting sqref="J85">
    <cfRule type="cellIs" dxfId="411" priority="63" operator="lessThan">
      <formula>0</formula>
    </cfRule>
  </conditionalFormatting>
  <conditionalFormatting sqref="J86">
    <cfRule type="cellIs" dxfId="410" priority="62" operator="lessThan">
      <formula>0</formula>
    </cfRule>
  </conditionalFormatting>
  <conditionalFormatting sqref="J92">
    <cfRule type="cellIs" dxfId="409" priority="61" operator="lessThan">
      <formula>0</formula>
    </cfRule>
  </conditionalFormatting>
  <conditionalFormatting sqref="J93">
    <cfRule type="cellIs" dxfId="408" priority="60" operator="lessThan">
      <formula>0</formula>
    </cfRule>
  </conditionalFormatting>
  <conditionalFormatting sqref="V20">
    <cfRule type="cellIs" dxfId="407" priority="59" operator="lessThan">
      <formula>0</formula>
    </cfRule>
  </conditionalFormatting>
  <conditionalFormatting sqref="T21">
    <cfRule type="cellIs" dxfId="406" priority="58" operator="lessThan">
      <formula>0</formula>
    </cfRule>
  </conditionalFormatting>
  <conditionalFormatting sqref="S21">
    <cfRule type="cellIs" dxfId="405" priority="57" operator="lessThan">
      <formula>0</formula>
    </cfRule>
  </conditionalFormatting>
  <conditionalFormatting sqref="S26">
    <cfRule type="cellIs" dxfId="404" priority="56" operator="lessThan">
      <formula>0</formula>
    </cfRule>
  </conditionalFormatting>
  <conditionalFormatting sqref="T26">
    <cfRule type="cellIs" dxfId="403" priority="55" operator="lessThan">
      <formula>0</formula>
    </cfRule>
  </conditionalFormatting>
  <conditionalFormatting sqref="V26">
    <cfRule type="cellIs" dxfId="402" priority="54" operator="lessThan">
      <formula>0</formula>
    </cfRule>
  </conditionalFormatting>
  <conditionalFormatting sqref="V30">
    <cfRule type="cellIs" dxfId="401" priority="53" operator="lessThan">
      <formula>0</formula>
    </cfRule>
  </conditionalFormatting>
  <conditionalFormatting sqref="T31">
    <cfRule type="cellIs" dxfId="400" priority="52" operator="lessThan">
      <formula>0</formula>
    </cfRule>
  </conditionalFormatting>
  <conditionalFormatting sqref="S31">
    <cfRule type="cellIs" dxfId="399" priority="51" operator="lessThan">
      <formula>0</formula>
    </cfRule>
  </conditionalFormatting>
  <conditionalFormatting sqref="S45">
    <cfRule type="cellIs" dxfId="398" priority="50" operator="lessThan">
      <formula>0</formula>
    </cfRule>
  </conditionalFormatting>
  <conditionalFormatting sqref="T45">
    <cfRule type="cellIs" dxfId="397" priority="49" operator="lessThan">
      <formula>0</formula>
    </cfRule>
  </conditionalFormatting>
  <conditionalFormatting sqref="V45">
    <cfRule type="cellIs" dxfId="396" priority="48" operator="lessThan">
      <formula>0</formula>
    </cfRule>
  </conditionalFormatting>
  <conditionalFormatting sqref="S46">
    <cfRule type="cellIs" dxfId="395" priority="47" operator="lessThan">
      <formula>0</formula>
    </cfRule>
  </conditionalFormatting>
  <conditionalFormatting sqref="T46">
    <cfRule type="cellIs" dxfId="394" priority="46" operator="lessThan">
      <formula>0</formula>
    </cfRule>
  </conditionalFormatting>
  <conditionalFormatting sqref="V46">
    <cfRule type="cellIs" dxfId="393" priority="45" operator="lessThan">
      <formula>0</formula>
    </cfRule>
  </conditionalFormatting>
  <conditionalFormatting sqref="S50">
    <cfRule type="cellIs" dxfId="392" priority="44" operator="lessThan">
      <formula>0</formula>
    </cfRule>
  </conditionalFormatting>
  <conditionalFormatting sqref="T50">
    <cfRule type="cellIs" dxfId="391" priority="43" operator="lessThan">
      <formula>0</formula>
    </cfRule>
  </conditionalFormatting>
  <conditionalFormatting sqref="V50">
    <cfRule type="cellIs" dxfId="390" priority="42" operator="lessThan">
      <formula>0</formula>
    </cfRule>
  </conditionalFormatting>
  <conditionalFormatting sqref="S51">
    <cfRule type="cellIs" dxfId="389" priority="41" operator="lessThan">
      <formula>0</formula>
    </cfRule>
  </conditionalFormatting>
  <conditionalFormatting sqref="T51">
    <cfRule type="cellIs" dxfId="388" priority="40" operator="lessThan">
      <formula>0</formula>
    </cfRule>
  </conditionalFormatting>
  <conditionalFormatting sqref="V51">
    <cfRule type="cellIs" dxfId="387" priority="39" operator="lessThan">
      <formula>0</formula>
    </cfRule>
  </conditionalFormatting>
  <conditionalFormatting sqref="S55">
    <cfRule type="cellIs" dxfId="386" priority="38" operator="lessThan">
      <formula>0</formula>
    </cfRule>
  </conditionalFormatting>
  <conditionalFormatting sqref="T55">
    <cfRule type="cellIs" dxfId="385" priority="37" operator="lessThan">
      <formula>0</formula>
    </cfRule>
  </conditionalFormatting>
  <conditionalFormatting sqref="V55">
    <cfRule type="cellIs" dxfId="384" priority="36" operator="lessThan">
      <formula>0</formula>
    </cfRule>
  </conditionalFormatting>
  <conditionalFormatting sqref="S56">
    <cfRule type="cellIs" dxfId="383" priority="35" operator="lessThan">
      <formula>0</formula>
    </cfRule>
  </conditionalFormatting>
  <conditionalFormatting sqref="T56">
    <cfRule type="cellIs" dxfId="382" priority="34" operator="lessThan">
      <formula>0</formula>
    </cfRule>
  </conditionalFormatting>
  <conditionalFormatting sqref="V56">
    <cfRule type="cellIs" dxfId="381" priority="33" operator="lessThan">
      <formula>0</formula>
    </cfRule>
  </conditionalFormatting>
  <conditionalFormatting sqref="T60">
    <cfRule type="cellIs" dxfId="380" priority="32" operator="lessThan">
      <formula>0</formula>
    </cfRule>
  </conditionalFormatting>
  <conditionalFormatting sqref="T61">
    <cfRule type="cellIs" dxfId="379" priority="31" operator="lessThan">
      <formula>0</formula>
    </cfRule>
  </conditionalFormatting>
  <conditionalFormatting sqref="V60">
    <cfRule type="cellIs" dxfId="378" priority="30" operator="lessThan">
      <formula>0</formula>
    </cfRule>
  </conditionalFormatting>
  <conditionalFormatting sqref="V61">
    <cfRule type="cellIs" dxfId="377" priority="29" operator="lessThan">
      <formula>0</formula>
    </cfRule>
  </conditionalFormatting>
  <conditionalFormatting sqref="T68">
    <cfRule type="cellIs" dxfId="376" priority="28" operator="lessThan">
      <formula>0</formula>
    </cfRule>
  </conditionalFormatting>
  <conditionalFormatting sqref="S61">
    <cfRule type="cellIs" dxfId="375" priority="27" operator="lessThan">
      <formula>0</formula>
    </cfRule>
  </conditionalFormatting>
  <conditionalFormatting sqref="S69">
    <cfRule type="cellIs" dxfId="374" priority="26" operator="lessThan">
      <formula>0</formula>
    </cfRule>
  </conditionalFormatting>
  <conditionalFormatting sqref="T69">
    <cfRule type="cellIs" dxfId="373" priority="25" operator="lessThan">
      <formula>0</formula>
    </cfRule>
  </conditionalFormatting>
  <conditionalFormatting sqref="V68">
    <cfRule type="cellIs" dxfId="372" priority="24" operator="lessThan">
      <formula>0</formula>
    </cfRule>
  </conditionalFormatting>
  <conditionalFormatting sqref="V69">
    <cfRule type="cellIs" dxfId="371" priority="23" operator="lessThan">
      <formula>0</formula>
    </cfRule>
  </conditionalFormatting>
  <conditionalFormatting sqref="T71">
    <cfRule type="cellIs" dxfId="370" priority="22" operator="lessThan">
      <formula>0</formula>
    </cfRule>
  </conditionalFormatting>
  <conditionalFormatting sqref="T72">
    <cfRule type="cellIs" dxfId="369" priority="21" operator="lessThan">
      <formula>0</formula>
    </cfRule>
  </conditionalFormatting>
  <conditionalFormatting sqref="S72">
    <cfRule type="cellIs" dxfId="368" priority="20" operator="lessThan">
      <formula>0</formula>
    </cfRule>
  </conditionalFormatting>
  <conditionalFormatting sqref="V71">
    <cfRule type="cellIs" dxfId="367" priority="19" operator="lessThan">
      <formula>0</formula>
    </cfRule>
  </conditionalFormatting>
  <conditionalFormatting sqref="V72">
    <cfRule type="cellIs" dxfId="366" priority="18" operator="lessThan">
      <formula>0</formula>
    </cfRule>
  </conditionalFormatting>
  <conditionalFormatting sqref="V76">
    <cfRule type="cellIs" dxfId="365" priority="17" operator="lessThan">
      <formula>0</formula>
    </cfRule>
  </conditionalFormatting>
  <conditionalFormatting sqref="V77">
    <cfRule type="cellIs" dxfId="364" priority="16" operator="lessThan">
      <formula>0</formula>
    </cfRule>
  </conditionalFormatting>
  <conditionalFormatting sqref="V81">
    <cfRule type="cellIs" dxfId="363" priority="15" operator="lessThan">
      <formula>0</formula>
    </cfRule>
  </conditionalFormatting>
  <conditionalFormatting sqref="V82">
    <cfRule type="cellIs" dxfId="362" priority="14" operator="lessThan">
      <formula>0</formula>
    </cfRule>
  </conditionalFormatting>
  <conditionalFormatting sqref="V86">
    <cfRule type="cellIs" dxfId="361" priority="13" operator="lessThan">
      <formula>0</formula>
    </cfRule>
  </conditionalFormatting>
  <conditionalFormatting sqref="V87">
    <cfRule type="cellIs" dxfId="360" priority="12" operator="lessThan">
      <formula>0</formula>
    </cfRule>
  </conditionalFormatting>
  <conditionalFormatting sqref="T76">
    <cfRule type="cellIs" dxfId="359" priority="11" operator="lessThan">
      <formula>0</formula>
    </cfRule>
  </conditionalFormatting>
  <conditionalFormatting sqref="T78">
    <cfRule type="cellIs" dxfId="358" priority="10" operator="lessThan">
      <formula>0</formula>
    </cfRule>
  </conditionalFormatting>
  <conditionalFormatting sqref="T81">
    <cfRule type="cellIs" dxfId="357" priority="9" operator="lessThan">
      <formula>0</formula>
    </cfRule>
  </conditionalFormatting>
  <conditionalFormatting sqref="T82">
    <cfRule type="cellIs" dxfId="356" priority="8" operator="lessThan">
      <formula>0</formula>
    </cfRule>
  </conditionalFormatting>
  <conditionalFormatting sqref="T87">
    <cfRule type="cellIs" dxfId="355" priority="7" operator="lessThan">
      <formula>0</formula>
    </cfRule>
  </conditionalFormatting>
  <conditionalFormatting sqref="S77">
    <cfRule type="cellIs" dxfId="354" priority="6" operator="lessThan">
      <formula>0</formula>
    </cfRule>
  </conditionalFormatting>
  <conditionalFormatting sqref="S82">
    <cfRule type="cellIs" dxfId="353" priority="5" operator="lessThan">
      <formula>0</formula>
    </cfRule>
  </conditionalFormatting>
  <conditionalFormatting sqref="S87">
    <cfRule type="cellIs" dxfId="352" priority="4" operator="lessThan">
      <formula>0</formula>
    </cfRule>
  </conditionalFormatting>
  <conditionalFormatting sqref="S92">
    <cfRule type="cellIs" dxfId="351" priority="3" operator="lessThan">
      <formula>0</formula>
    </cfRule>
  </conditionalFormatting>
  <conditionalFormatting sqref="T92">
    <cfRule type="cellIs" dxfId="350" priority="2" operator="lessThan">
      <formula>0</formula>
    </cfRule>
  </conditionalFormatting>
  <conditionalFormatting sqref="V91">
    <cfRule type="cellIs" dxfId="349" priority="1" operator="lessThan">
      <formula>0</formula>
    </cfRule>
  </conditionalFormatting>
  <pageMargins left="0.7" right="0.7" top="0.75" bottom="0.75" header="0.3" footer="0.3"/>
  <pageSetup paperSize="9" orientation="portrait" r:id="rId1"/>
  <headerFooter>
    <oddHeader>&amp;Rby MUSHROOM&amp;CCrypto Sheets&amp;L2022</oddHeader>
    <oddFooter>&amp;Rby MUSHROOM&amp;CCrypto Sheets&amp;L2022</oddFooter>
  </headerFooter>
  <drawing r:id="rId2"/>
  <extLst>
    <ext xmlns:x14="http://schemas.microsoft.com/office/spreadsheetml/2009/9/main" uri="{78C0D931-6437-407d-A8EE-F0AAD7539E65}">
      <x14:conditionalFormattings>
        <x14:conditionalFormatting xmlns:xm="http://schemas.microsoft.com/office/excel/2006/main">
          <x14:cfRule type="cellIs" priority="398" operator="equal" id="{30DB6E35-4B3C-4DA5-83BC-DD55A295C9DB}">
            <xm:f>Coingecko_API!$B$3</xm:f>
            <x14:dxf>
              <fill>
                <patternFill>
                  <bgColor theme="3" tint="0.39994506668294322"/>
                </patternFill>
              </fill>
            </x14:dxf>
          </x14:cfRule>
          <x14:cfRule type="cellIs" priority="399" operator="equal" id="{3E59F355-1F73-4DD1-92BB-3225247DDCC4}">
            <xm:f>Coingecko_API!$B$9</xm:f>
            <x14:dxf>
              <fill>
                <patternFill>
                  <bgColor theme="5"/>
                </patternFill>
              </fill>
            </x14:dxf>
          </x14:cfRule>
          <x14:cfRule type="cellIs" priority="400" operator="equal" id="{36D52AE1-E64C-4FAF-8D04-4CD43AAC14E1}">
            <xm:f>Coingecko_API!$B$8</xm:f>
            <x14:dxf>
              <fill>
                <patternFill>
                  <bgColor theme="8" tint="0.59996337778862885"/>
                </patternFill>
              </fill>
            </x14:dxf>
          </x14:cfRule>
          <x14:cfRule type="cellIs" priority="401" operator="equal" id="{3132F405-0A98-44F0-9815-A66CF9580661}">
            <xm:f>Coingecko_API!$B$7</xm:f>
            <x14:dxf>
              <fill>
                <patternFill>
                  <bgColor theme="0" tint="-0.24994659260841701"/>
                </patternFill>
              </fill>
            </x14:dxf>
          </x14:cfRule>
          <x14:cfRule type="cellIs" priority="402" operator="equal" id="{63187B48-4D2D-4484-BBD5-61922B500AEF}">
            <xm:f>Coingecko_API!$B$6</xm:f>
            <x14:dxf>
              <fill>
                <patternFill>
                  <bgColor theme="7"/>
                </patternFill>
              </fill>
            </x14:dxf>
          </x14:cfRule>
          <x14:cfRule type="cellIs" priority="403" operator="equal" id="{A61A459A-414A-4BE0-9A46-F8C4752B7984}">
            <xm:f>Coingecko_API!$B$5</xm:f>
            <x14:dxf>
              <fill>
                <patternFill>
                  <bgColor rgb="FF0070C0"/>
                </patternFill>
              </fill>
            </x14:dxf>
          </x14:cfRule>
          <x14:cfRule type="cellIs" priority="404" operator="equal" id="{13FD1B28-643A-4239-906B-360FE74C88E5}">
            <xm:f>Coingecko_API!$B$4</xm:f>
            <x14:dxf>
              <fill>
                <patternFill>
                  <bgColor theme="9" tint="-0.24994659260841701"/>
                </patternFill>
              </fill>
            </x14:dxf>
          </x14:cfRule>
          <x14:cfRule type="cellIs" priority="405" operator="equal" id="{5FFFD694-4786-44E0-9795-6B183A716E22}">
            <xm:f>Coingecko_API!$B$3</xm:f>
            <x14:dxf>
              <fill>
                <patternFill>
                  <bgColor theme="3" tint="0.39994506668294322"/>
                </patternFill>
              </fill>
            </x14:dxf>
          </x14:cfRule>
          <x14:cfRule type="cellIs" priority="485" operator="equal" id="{35058EAD-713C-4D29-84AE-0E213565CE3D}">
            <xm:f>Coingecko_API!$B$2</xm:f>
            <x14:dxf>
              <fill>
                <patternFill>
                  <bgColor theme="5"/>
                </patternFill>
              </fill>
            </x14:dxf>
          </x14:cfRule>
          <xm:sqref>P68:P69 P71:P72</xm:sqref>
        </x14:conditionalFormatting>
        <x14:conditionalFormatting xmlns:xm="http://schemas.microsoft.com/office/excel/2006/main">
          <x14:cfRule type="cellIs" priority="379" operator="equal" id="{5A69C5B2-F3EB-40D0-A53A-4CF3A34101A2}">
            <xm:f>Coingecko_API!$B$3</xm:f>
            <x14:dxf>
              <fill>
                <patternFill>
                  <bgColor theme="3" tint="0.39994506668294322"/>
                </patternFill>
              </fill>
            </x14:dxf>
          </x14:cfRule>
          <x14:cfRule type="cellIs" priority="380" operator="equal" id="{074697D4-15B2-4380-BA88-7CC0C016F06C}">
            <xm:f>Coingecko_API!$B$9</xm:f>
            <x14:dxf>
              <fill>
                <patternFill>
                  <bgColor theme="5"/>
                </patternFill>
              </fill>
            </x14:dxf>
          </x14:cfRule>
          <x14:cfRule type="cellIs" priority="381" operator="equal" id="{9BD06B96-A511-496C-92D0-65D8B4521218}">
            <xm:f>Coingecko_API!$B$8</xm:f>
            <x14:dxf>
              <fill>
                <patternFill>
                  <bgColor theme="8" tint="0.59996337778862885"/>
                </patternFill>
              </fill>
            </x14:dxf>
          </x14:cfRule>
          <x14:cfRule type="cellIs" priority="382" operator="equal" id="{5B8856F8-A749-45C3-8515-6421DE4CC867}">
            <xm:f>Coingecko_API!$B$7</xm:f>
            <x14:dxf>
              <fill>
                <patternFill>
                  <bgColor theme="0" tint="-0.24994659260841701"/>
                </patternFill>
              </fill>
            </x14:dxf>
          </x14:cfRule>
          <x14:cfRule type="cellIs" priority="383" operator="equal" id="{F03159B6-D914-4896-A56B-3A2ED83C13EE}">
            <xm:f>Coingecko_API!$B$6</xm:f>
            <x14:dxf>
              <fill>
                <patternFill>
                  <bgColor theme="7"/>
                </patternFill>
              </fill>
            </x14:dxf>
          </x14:cfRule>
          <x14:cfRule type="cellIs" priority="384" operator="equal" id="{8E80B402-5A3A-4141-9501-2BF93483CCA5}">
            <xm:f>Coingecko_API!$B$5</xm:f>
            <x14:dxf>
              <fill>
                <patternFill>
                  <bgColor rgb="FF0070C0"/>
                </patternFill>
              </fill>
            </x14:dxf>
          </x14:cfRule>
          <x14:cfRule type="cellIs" priority="385" operator="equal" id="{144AA128-8B81-4FC4-AD5E-8F8CB8C64679}">
            <xm:f>Coingecko_API!$B$4</xm:f>
            <x14:dxf>
              <fill>
                <patternFill>
                  <bgColor theme="9" tint="-0.24994659260841701"/>
                </patternFill>
              </fill>
            </x14:dxf>
          </x14:cfRule>
          <x14:cfRule type="cellIs" priority="386" operator="equal" id="{804F830C-C81D-4179-B902-FA09916AF343}">
            <xm:f>Coingecko_API!$B$3</xm:f>
            <x14:dxf>
              <fill>
                <patternFill>
                  <bgColor theme="3" tint="0.39994506668294322"/>
                </patternFill>
              </fill>
            </x14:dxf>
          </x14:cfRule>
          <x14:cfRule type="cellIs" priority="392" operator="equal" id="{CE516947-E4EC-4F3E-97C5-FC899475C638}">
            <xm:f>Coingecko_API!$B$2</xm:f>
            <x14:dxf>
              <fill>
                <patternFill>
                  <bgColor theme="5"/>
                </patternFill>
              </fill>
            </x14:dxf>
          </x14:cfRule>
          <xm:sqref>P20:P21</xm:sqref>
        </x14:conditionalFormatting>
        <x14:conditionalFormatting xmlns:xm="http://schemas.microsoft.com/office/excel/2006/main">
          <x14:cfRule type="cellIs" priority="352" operator="equal" id="{F7B94680-60BD-42C6-B8CF-B9702D8B1B3D}">
            <xm:f>Coingecko_API!$B$3</xm:f>
            <x14:dxf>
              <fill>
                <patternFill>
                  <bgColor theme="3" tint="0.39994506668294322"/>
                </patternFill>
              </fill>
            </x14:dxf>
          </x14:cfRule>
          <x14:cfRule type="cellIs" priority="353" operator="equal" id="{D01C527E-FA8F-47A8-B567-DB4F1812ACCC}">
            <xm:f>Coingecko_API!$B$9</xm:f>
            <x14:dxf>
              <fill>
                <patternFill>
                  <bgColor theme="5"/>
                </patternFill>
              </fill>
            </x14:dxf>
          </x14:cfRule>
          <x14:cfRule type="cellIs" priority="354" operator="equal" id="{9CDBBD85-306B-468E-907C-5E6562F25EA5}">
            <xm:f>Coingecko_API!$B$8</xm:f>
            <x14:dxf>
              <fill>
                <patternFill>
                  <bgColor theme="8" tint="0.59996337778862885"/>
                </patternFill>
              </fill>
            </x14:dxf>
          </x14:cfRule>
          <x14:cfRule type="cellIs" priority="355" operator="equal" id="{BB5F4749-D9D5-45A6-B831-02959E01E105}">
            <xm:f>Coingecko_API!$B$7</xm:f>
            <x14:dxf>
              <fill>
                <patternFill>
                  <bgColor theme="0" tint="-0.24994659260841701"/>
                </patternFill>
              </fill>
            </x14:dxf>
          </x14:cfRule>
          <x14:cfRule type="cellIs" priority="356" operator="equal" id="{E97C2852-4DF2-467C-8DA7-017ECEEE6559}">
            <xm:f>Coingecko_API!$B$6</xm:f>
            <x14:dxf>
              <fill>
                <patternFill>
                  <bgColor theme="7"/>
                </patternFill>
              </fill>
            </x14:dxf>
          </x14:cfRule>
          <x14:cfRule type="cellIs" priority="357" operator="equal" id="{1F32C2A1-F2F1-431E-97C8-47E91AFC12B7}">
            <xm:f>Coingecko_API!$B$5</xm:f>
            <x14:dxf>
              <fill>
                <patternFill>
                  <bgColor rgb="FF0070C0"/>
                </patternFill>
              </fill>
            </x14:dxf>
          </x14:cfRule>
          <x14:cfRule type="cellIs" priority="358" operator="equal" id="{D7AD4DFA-F594-4F00-B682-D260A2E9E4BA}">
            <xm:f>Coingecko_API!$B$4</xm:f>
            <x14:dxf>
              <fill>
                <patternFill>
                  <bgColor theme="9" tint="-0.24994659260841701"/>
                </patternFill>
              </fill>
            </x14:dxf>
          </x14:cfRule>
          <x14:cfRule type="cellIs" priority="359" operator="equal" id="{8B03D329-9B7F-4331-B5E0-DBF9EE28365A}">
            <xm:f>Coingecko_API!$B$3</xm:f>
            <x14:dxf>
              <fill>
                <patternFill>
                  <bgColor theme="3" tint="0.39994506668294322"/>
                </patternFill>
              </fill>
            </x14:dxf>
          </x14:cfRule>
          <x14:cfRule type="cellIs" priority="365" operator="equal" id="{100D2FE5-095B-4AA4-BE4E-CE18453A73D4}">
            <xm:f>Coingecko_API!$B$2</xm:f>
            <x14:dxf>
              <fill>
                <patternFill>
                  <bgColor theme="5"/>
                </patternFill>
              </fill>
            </x14:dxf>
          </x14:cfRule>
          <xm:sqref>D18</xm:sqref>
        </x14:conditionalFormatting>
        <x14:conditionalFormatting xmlns:xm="http://schemas.microsoft.com/office/excel/2006/main">
          <x14:cfRule type="cellIs" priority="337" operator="equal" id="{67B9C55E-2B82-4D9D-A223-45948445106B}">
            <xm:f>Coingecko_API!$B$3</xm:f>
            <x14:dxf>
              <fill>
                <patternFill>
                  <bgColor theme="3" tint="0.39994506668294322"/>
                </patternFill>
              </fill>
            </x14:dxf>
          </x14:cfRule>
          <x14:cfRule type="cellIs" priority="338" operator="equal" id="{94765F94-70A5-4EB9-822C-5B5674113019}">
            <xm:f>Coingecko_API!$B$9</xm:f>
            <x14:dxf>
              <fill>
                <patternFill>
                  <bgColor theme="5"/>
                </patternFill>
              </fill>
            </x14:dxf>
          </x14:cfRule>
          <x14:cfRule type="cellIs" priority="339" operator="equal" id="{5C6B8D9E-82C2-4764-8E70-62915CF89D25}">
            <xm:f>Coingecko_API!$B$8</xm:f>
            <x14:dxf>
              <fill>
                <patternFill>
                  <bgColor theme="8" tint="0.59996337778862885"/>
                </patternFill>
              </fill>
            </x14:dxf>
          </x14:cfRule>
          <x14:cfRule type="cellIs" priority="340" operator="equal" id="{5BFC4B4A-B932-418F-9D83-9CD06D3F0001}">
            <xm:f>Coingecko_API!$B$7</xm:f>
            <x14:dxf>
              <fill>
                <patternFill>
                  <bgColor theme="0" tint="-0.24994659260841701"/>
                </patternFill>
              </fill>
            </x14:dxf>
          </x14:cfRule>
          <x14:cfRule type="cellIs" priority="341" operator="equal" id="{9751AE0E-7CD6-4344-B9DA-3FDAE1147356}">
            <xm:f>Coingecko_API!$B$6</xm:f>
            <x14:dxf>
              <fill>
                <patternFill>
                  <bgColor theme="7"/>
                </patternFill>
              </fill>
            </x14:dxf>
          </x14:cfRule>
          <x14:cfRule type="cellIs" priority="342" operator="equal" id="{AD9E2C80-7AFB-4947-A33A-B484054BBDD9}">
            <xm:f>Coingecko_API!$B$5</xm:f>
            <x14:dxf>
              <fill>
                <patternFill>
                  <bgColor rgb="FF0070C0"/>
                </patternFill>
              </fill>
            </x14:dxf>
          </x14:cfRule>
          <x14:cfRule type="cellIs" priority="343" operator="equal" id="{8B93BA00-41BB-404E-B646-0CBA14295FED}">
            <xm:f>Coingecko_API!$B$4</xm:f>
            <x14:dxf>
              <fill>
                <patternFill>
                  <bgColor theme="9" tint="-0.24994659260841701"/>
                </patternFill>
              </fill>
            </x14:dxf>
          </x14:cfRule>
          <x14:cfRule type="cellIs" priority="344" operator="equal" id="{4AD50A9C-87CA-469C-AB13-D82570650130}">
            <xm:f>Coingecko_API!$B$3</xm:f>
            <x14:dxf>
              <fill>
                <patternFill>
                  <bgColor theme="3" tint="0.39994506668294322"/>
                </patternFill>
              </fill>
            </x14:dxf>
          </x14:cfRule>
          <x14:cfRule type="cellIs" priority="350" operator="equal" id="{1D6DF5E9-7F31-44A9-BEE3-389D7C408942}">
            <xm:f>Coingecko_API!$B$2</xm:f>
            <x14:dxf>
              <fill>
                <patternFill>
                  <bgColor theme="5"/>
                </patternFill>
              </fill>
            </x14:dxf>
          </x14:cfRule>
          <xm:sqref>P25:P26</xm:sqref>
        </x14:conditionalFormatting>
        <x14:conditionalFormatting xmlns:xm="http://schemas.microsoft.com/office/excel/2006/main">
          <x14:cfRule type="cellIs" priority="322" operator="equal" id="{2A09CBC5-14D8-4557-A2EF-374D4E9FE07B}">
            <xm:f>Coingecko_API!$B$3</xm:f>
            <x14:dxf>
              <fill>
                <patternFill>
                  <bgColor theme="3" tint="0.39994506668294322"/>
                </patternFill>
              </fill>
            </x14:dxf>
          </x14:cfRule>
          <x14:cfRule type="cellIs" priority="323" operator="equal" id="{00B5291E-1FDF-454A-860F-DC7508099F3E}">
            <xm:f>Coingecko_API!$B$9</xm:f>
            <x14:dxf>
              <fill>
                <patternFill>
                  <bgColor theme="5"/>
                </patternFill>
              </fill>
            </x14:dxf>
          </x14:cfRule>
          <x14:cfRule type="cellIs" priority="324" operator="equal" id="{3415A7AC-1823-4305-978E-42A7DA072C85}">
            <xm:f>Coingecko_API!$B$8</xm:f>
            <x14:dxf>
              <fill>
                <patternFill>
                  <bgColor theme="8" tint="0.59996337778862885"/>
                </patternFill>
              </fill>
            </x14:dxf>
          </x14:cfRule>
          <x14:cfRule type="cellIs" priority="325" operator="equal" id="{5BFD0AAE-7E8D-411C-AF9B-657393175490}">
            <xm:f>Coingecko_API!$B$7</xm:f>
            <x14:dxf>
              <fill>
                <patternFill>
                  <bgColor theme="0" tint="-0.24994659260841701"/>
                </patternFill>
              </fill>
            </x14:dxf>
          </x14:cfRule>
          <x14:cfRule type="cellIs" priority="326" operator="equal" id="{AF215F0B-D326-40CC-81EC-E722014D6FC7}">
            <xm:f>Coingecko_API!$B$6</xm:f>
            <x14:dxf>
              <fill>
                <patternFill>
                  <bgColor theme="7"/>
                </patternFill>
              </fill>
            </x14:dxf>
          </x14:cfRule>
          <x14:cfRule type="cellIs" priority="327" operator="equal" id="{1D1CEBAE-8110-400D-9995-1C8C71668903}">
            <xm:f>Coingecko_API!$B$5</xm:f>
            <x14:dxf>
              <fill>
                <patternFill>
                  <bgColor rgb="FF0070C0"/>
                </patternFill>
              </fill>
            </x14:dxf>
          </x14:cfRule>
          <x14:cfRule type="cellIs" priority="328" operator="equal" id="{984BE086-7FA9-40B2-B013-F34EE4D42E14}">
            <xm:f>Coingecko_API!$B$4</xm:f>
            <x14:dxf>
              <fill>
                <patternFill>
                  <bgColor theme="9" tint="-0.24994659260841701"/>
                </patternFill>
              </fill>
            </x14:dxf>
          </x14:cfRule>
          <x14:cfRule type="cellIs" priority="329" operator="equal" id="{1755F94D-0616-422A-91A4-A20103B135BD}">
            <xm:f>Coingecko_API!$B$3</xm:f>
            <x14:dxf>
              <fill>
                <patternFill>
                  <bgColor theme="3" tint="0.39994506668294322"/>
                </patternFill>
              </fill>
            </x14:dxf>
          </x14:cfRule>
          <x14:cfRule type="cellIs" priority="335" operator="equal" id="{C50ED9D0-BF97-4460-93A6-CCA744C2FE5C}">
            <xm:f>Coingecko_API!$B$2</xm:f>
            <x14:dxf>
              <fill>
                <patternFill>
                  <bgColor theme="5"/>
                </patternFill>
              </fill>
            </x14:dxf>
          </x14:cfRule>
          <xm:sqref>P30:P31</xm:sqref>
        </x14:conditionalFormatting>
        <x14:conditionalFormatting xmlns:xm="http://schemas.microsoft.com/office/excel/2006/main">
          <x14:cfRule type="cellIs" priority="307" operator="equal" id="{5A1097F3-E2B0-4BE3-A9B2-588CF729AD2B}">
            <xm:f>Coingecko_API!$B$3</xm:f>
            <x14:dxf>
              <fill>
                <patternFill>
                  <bgColor theme="3" tint="0.39994506668294322"/>
                </patternFill>
              </fill>
            </x14:dxf>
          </x14:cfRule>
          <x14:cfRule type="cellIs" priority="308" operator="equal" id="{0F8C57A1-7619-4434-8A2E-7F0BABFC6AD5}">
            <xm:f>Coingecko_API!$B$9</xm:f>
            <x14:dxf>
              <fill>
                <patternFill>
                  <bgColor theme="5"/>
                </patternFill>
              </fill>
            </x14:dxf>
          </x14:cfRule>
          <x14:cfRule type="cellIs" priority="309" operator="equal" id="{7B580B6B-57F5-4550-A3A7-22562CB55CD2}">
            <xm:f>Coingecko_API!$B$8</xm:f>
            <x14:dxf>
              <fill>
                <patternFill>
                  <bgColor theme="8" tint="0.59996337778862885"/>
                </patternFill>
              </fill>
            </x14:dxf>
          </x14:cfRule>
          <x14:cfRule type="cellIs" priority="310" operator="equal" id="{71EFACF4-2DE0-409C-99CA-5BE9AE642B54}">
            <xm:f>Coingecko_API!$B$7</xm:f>
            <x14:dxf>
              <fill>
                <patternFill>
                  <bgColor theme="0" tint="-0.24994659260841701"/>
                </patternFill>
              </fill>
            </x14:dxf>
          </x14:cfRule>
          <x14:cfRule type="cellIs" priority="311" operator="equal" id="{D1E76D48-3E99-42AE-89A9-8C6A5EBAA4FC}">
            <xm:f>Coingecko_API!$B$6</xm:f>
            <x14:dxf>
              <fill>
                <patternFill>
                  <bgColor theme="7"/>
                </patternFill>
              </fill>
            </x14:dxf>
          </x14:cfRule>
          <x14:cfRule type="cellIs" priority="312" operator="equal" id="{7C0D5891-5BA0-4B7A-BA71-DE29F893A687}">
            <xm:f>Coingecko_API!$B$5</xm:f>
            <x14:dxf>
              <fill>
                <patternFill>
                  <bgColor rgb="FF0070C0"/>
                </patternFill>
              </fill>
            </x14:dxf>
          </x14:cfRule>
          <x14:cfRule type="cellIs" priority="313" operator="equal" id="{081BE49A-133F-4B4F-9E70-C999722A47C7}">
            <xm:f>Coingecko_API!$B$4</xm:f>
            <x14:dxf>
              <fill>
                <patternFill>
                  <bgColor theme="9" tint="-0.24994659260841701"/>
                </patternFill>
              </fill>
            </x14:dxf>
          </x14:cfRule>
          <x14:cfRule type="cellIs" priority="314" operator="equal" id="{D4933B99-2AD3-4A7B-898E-9E5096C4B6E5}">
            <xm:f>Coingecko_API!$B$3</xm:f>
            <x14:dxf>
              <fill>
                <patternFill>
                  <bgColor theme="3" tint="0.39994506668294322"/>
                </patternFill>
              </fill>
            </x14:dxf>
          </x14:cfRule>
          <x14:cfRule type="cellIs" priority="320" operator="equal" id="{79A0764D-CBE5-490A-BEFD-B3235DD72026}">
            <xm:f>Coingecko_API!$B$2</xm:f>
            <x14:dxf>
              <fill>
                <patternFill>
                  <bgColor theme="5"/>
                </patternFill>
              </fill>
            </x14:dxf>
          </x14:cfRule>
          <xm:sqref>P45:P46</xm:sqref>
        </x14:conditionalFormatting>
        <x14:conditionalFormatting xmlns:xm="http://schemas.microsoft.com/office/excel/2006/main">
          <x14:cfRule type="cellIs" priority="292" operator="equal" id="{86FF545B-1870-490D-9C38-F1C33B2B8EBC}">
            <xm:f>Coingecko_API!$B$3</xm:f>
            <x14:dxf>
              <fill>
                <patternFill>
                  <bgColor theme="3" tint="0.39994506668294322"/>
                </patternFill>
              </fill>
            </x14:dxf>
          </x14:cfRule>
          <x14:cfRule type="cellIs" priority="293" operator="equal" id="{C60F9889-CEDF-42F5-B62E-5D817A9D88DF}">
            <xm:f>Coingecko_API!$B$9</xm:f>
            <x14:dxf>
              <fill>
                <patternFill>
                  <bgColor theme="5"/>
                </patternFill>
              </fill>
            </x14:dxf>
          </x14:cfRule>
          <x14:cfRule type="cellIs" priority="294" operator="equal" id="{BFCD3B26-A558-4CDC-A4F1-1067EC817762}">
            <xm:f>Coingecko_API!$B$8</xm:f>
            <x14:dxf>
              <fill>
                <patternFill>
                  <bgColor theme="8" tint="0.59996337778862885"/>
                </patternFill>
              </fill>
            </x14:dxf>
          </x14:cfRule>
          <x14:cfRule type="cellIs" priority="295" operator="equal" id="{AA061858-4EAB-488E-BFAC-71278AE88437}">
            <xm:f>Coingecko_API!$B$7</xm:f>
            <x14:dxf>
              <fill>
                <patternFill>
                  <bgColor theme="0" tint="-0.24994659260841701"/>
                </patternFill>
              </fill>
            </x14:dxf>
          </x14:cfRule>
          <x14:cfRule type="cellIs" priority="296" operator="equal" id="{F8515579-A579-44D4-A699-3B03553CC692}">
            <xm:f>Coingecko_API!$B$6</xm:f>
            <x14:dxf>
              <fill>
                <patternFill>
                  <bgColor theme="7"/>
                </patternFill>
              </fill>
            </x14:dxf>
          </x14:cfRule>
          <x14:cfRule type="cellIs" priority="297" operator="equal" id="{8170D9BC-642B-4E69-B691-0085027B94BB}">
            <xm:f>Coingecko_API!$B$5</xm:f>
            <x14:dxf>
              <fill>
                <patternFill>
                  <bgColor rgb="FF0070C0"/>
                </patternFill>
              </fill>
            </x14:dxf>
          </x14:cfRule>
          <x14:cfRule type="cellIs" priority="298" operator="equal" id="{C807BFAB-B85A-4725-AE48-B61D6B52A129}">
            <xm:f>Coingecko_API!$B$4</xm:f>
            <x14:dxf>
              <fill>
                <patternFill>
                  <bgColor theme="9" tint="-0.24994659260841701"/>
                </patternFill>
              </fill>
            </x14:dxf>
          </x14:cfRule>
          <x14:cfRule type="cellIs" priority="299" operator="equal" id="{352FB4F6-876B-4370-A7BB-8E0028AD05EE}">
            <xm:f>Coingecko_API!$B$3</xm:f>
            <x14:dxf>
              <fill>
                <patternFill>
                  <bgColor theme="3" tint="0.39994506668294322"/>
                </patternFill>
              </fill>
            </x14:dxf>
          </x14:cfRule>
          <x14:cfRule type="cellIs" priority="305" operator="equal" id="{090A69AD-5DA9-4EFA-8540-A5A24620B72C}">
            <xm:f>Coingecko_API!$B$2</xm:f>
            <x14:dxf>
              <fill>
                <patternFill>
                  <bgColor theme="5"/>
                </patternFill>
              </fill>
            </x14:dxf>
          </x14:cfRule>
          <xm:sqref>P50:P51</xm:sqref>
        </x14:conditionalFormatting>
        <x14:conditionalFormatting xmlns:xm="http://schemas.microsoft.com/office/excel/2006/main">
          <x14:cfRule type="cellIs" priority="277" operator="equal" id="{BEED2846-7CB9-46D9-93C5-306A9866BD0C}">
            <xm:f>Coingecko_API!$B$3</xm:f>
            <x14:dxf>
              <fill>
                <patternFill>
                  <bgColor theme="3" tint="0.39994506668294322"/>
                </patternFill>
              </fill>
            </x14:dxf>
          </x14:cfRule>
          <x14:cfRule type="cellIs" priority="278" operator="equal" id="{D349C3CC-E686-4DBC-8AE3-743F1FB3159D}">
            <xm:f>Coingecko_API!$B$9</xm:f>
            <x14:dxf>
              <fill>
                <patternFill>
                  <bgColor theme="5"/>
                </patternFill>
              </fill>
            </x14:dxf>
          </x14:cfRule>
          <x14:cfRule type="cellIs" priority="279" operator="equal" id="{6EBDD51B-7944-4281-832F-5DA697653715}">
            <xm:f>Coingecko_API!$B$8</xm:f>
            <x14:dxf>
              <fill>
                <patternFill>
                  <bgColor theme="8" tint="0.59996337778862885"/>
                </patternFill>
              </fill>
            </x14:dxf>
          </x14:cfRule>
          <x14:cfRule type="cellIs" priority="280" operator="equal" id="{EDE5D87A-A0E2-4947-8F18-92B965887B66}">
            <xm:f>Coingecko_API!$B$7</xm:f>
            <x14:dxf>
              <fill>
                <patternFill>
                  <bgColor theme="0" tint="-0.24994659260841701"/>
                </patternFill>
              </fill>
            </x14:dxf>
          </x14:cfRule>
          <x14:cfRule type="cellIs" priority="281" operator="equal" id="{735B0303-4A37-4482-8012-215B8F277550}">
            <xm:f>Coingecko_API!$B$6</xm:f>
            <x14:dxf>
              <fill>
                <patternFill>
                  <bgColor theme="7"/>
                </patternFill>
              </fill>
            </x14:dxf>
          </x14:cfRule>
          <x14:cfRule type="cellIs" priority="282" operator="equal" id="{6D227B18-5F21-4FA0-BFE5-426A900142F3}">
            <xm:f>Coingecko_API!$B$5</xm:f>
            <x14:dxf>
              <fill>
                <patternFill>
                  <bgColor rgb="FF0070C0"/>
                </patternFill>
              </fill>
            </x14:dxf>
          </x14:cfRule>
          <x14:cfRule type="cellIs" priority="283" operator="equal" id="{6C19A759-96CA-4E4C-AE2E-A5306DA72D63}">
            <xm:f>Coingecko_API!$B$4</xm:f>
            <x14:dxf>
              <fill>
                <patternFill>
                  <bgColor theme="9" tint="-0.24994659260841701"/>
                </patternFill>
              </fill>
            </x14:dxf>
          </x14:cfRule>
          <x14:cfRule type="cellIs" priority="284" operator="equal" id="{2D6BF7AC-3AAD-44B2-9B9A-0832918DAEB7}">
            <xm:f>Coingecko_API!$B$3</xm:f>
            <x14:dxf>
              <fill>
                <patternFill>
                  <bgColor theme="3" tint="0.39994506668294322"/>
                </patternFill>
              </fill>
            </x14:dxf>
          </x14:cfRule>
          <x14:cfRule type="cellIs" priority="290" operator="equal" id="{65505F91-7ED0-4EE1-8149-9C7D689793AC}">
            <xm:f>Coingecko_API!$B$2</xm:f>
            <x14:dxf>
              <fill>
                <patternFill>
                  <bgColor theme="5"/>
                </patternFill>
              </fill>
            </x14:dxf>
          </x14:cfRule>
          <xm:sqref>P55:P56</xm:sqref>
        </x14:conditionalFormatting>
        <x14:conditionalFormatting xmlns:xm="http://schemas.microsoft.com/office/excel/2006/main">
          <x14:cfRule type="cellIs" priority="262" operator="equal" id="{97655474-CE12-442D-81A9-ABC5290263C1}">
            <xm:f>Coingecko_API!$B$3</xm:f>
            <x14:dxf>
              <fill>
                <patternFill>
                  <bgColor theme="3" tint="0.39994506668294322"/>
                </patternFill>
              </fill>
            </x14:dxf>
          </x14:cfRule>
          <x14:cfRule type="cellIs" priority="263" operator="equal" id="{DBC15DA3-0B07-4F5C-A2F0-0F0D59C1D32E}">
            <xm:f>Coingecko_API!$B$9</xm:f>
            <x14:dxf>
              <fill>
                <patternFill>
                  <bgColor theme="5"/>
                </patternFill>
              </fill>
            </x14:dxf>
          </x14:cfRule>
          <x14:cfRule type="cellIs" priority="264" operator="equal" id="{35F3CB43-8F7C-4A4C-A046-7E0B851EB187}">
            <xm:f>Coingecko_API!$B$8</xm:f>
            <x14:dxf>
              <fill>
                <patternFill>
                  <bgColor theme="8" tint="0.59996337778862885"/>
                </patternFill>
              </fill>
            </x14:dxf>
          </x14:cfRule>
          <x14:cfRule type="cellIs" priority="265" operator="equal" id="{28BF3AEC-EA4B-4DED-B166-BB6C44935D1A}">
            <xm:f>Coingecko_API!$B$7</xm:f>
            <x14:dxf>
              <fill>
                <patternFill>
                  <bgColor theme="0" tint="-0.24994659260841701"/>
                </patternFill>
              </fill>
            </x14:dxf>
          </x14:cfRule>
          <x14:cfRule type="cellIs" priority="266" operator="equal" id="{A237AE68-C16F-47A2-BFCA-8702FB05CCE0}">
            <xm:f>Coingecko_API!$B$6</xm:f>
            <x14:dxf>
              <fill>
                <patternFill>
                  <bgColor theme="7"/>
                </patternFill>
              </fill>
            </x14:dxf>
          </x14:cfRule>
          <x14:cfRule type="cellIs" priority="267" operator="equal" id="{FA00B2EB-FBCB-4BF4-9434-FF4FB83F0E6D}">
            <xm:f>Coingecko_API!$B$5</xm:f>
            <x14:dxf>
              <fill>
                <patternFill>
                  <bgColor rgb="FF0070C0"/>
                </patternFill>
              </fill>
            </x14:dxf>
          </x14:cfRule>
          <x14:cfRule type="cellIs" priority="268" operator="equal" id="{8CEB6571-76E6-421E-A243-1B333541D1C7}">
            <xm:f>Coingecko_API!$B$4</xm:f>
            <x14:dxf>
              <fill>
                <patternFill>
                  <bgColor theme="9" tint="-0.24994659260841701"/>
                </patternFill>
              </fill>
            </x14:dxf>
          </x14:cfRule>
          <x14:cfRule type="cellIs" priority="269" operator="equal" id="{DCA49672-D157-4D8A-B314-CF66C0D24929}">
            <xm:f>Coingecko_API!$B$3</xm:f>
            <x14:dxf>
              <fill>
                <patternFill>
                  <bgColor theme="3" tint="0.39994506668294322"/>
                </patternFill>
              </fill>
            </x14:dxf>
          </x14:cfRule>
          <x14:cfRule type="cellIs" priority="275" operator="equal" id="{087E87EB-CD48-4119-8DB4-404E7A0A0839}">
            <xm:f>Coingecko_API!$B$2</xm:f>
            <x14:dxf>
              <fill>
                <patternFill>
                  <bgColor theme="5"/>
                </patternFill>
              </fill>
            </x14:dxf>
          </x14:cfRule>
          <xm:sqref>P60:P61</xm:sqref>
        </x14:conditionalFormatting>
        <x14:conditionalFormatting xmlns:xm="http://schemas.microsoft.com/office/excel/2006/main">
          <x14:cfRule type="cellIs" priority="247" operator="equal" id="{C8D028E9-3BAC-46C1-B72B-34C2CA450ED9}">
            <xm:f>Coingecko_API!$B$3</xm:f>
            <x14:dxf>
              <fill>
                <patternFill>
                  <bgColor theme="3" tint="0.39994506668294322"/>
                </patternFill>
              </fill>
            </x14:dxf>
          </x14:cfRule>
          <x14:cfRule type="cellIs" priority="248" operator="equal" id="{3AB8EF11-CFB8-48FA-ABAF-9A6D1F699FA8}">
            <xm:f>Coingecko_API!$B$9</xm:f>
            <x14:dxf>
              <fill>
                <patternFill>
                  <bgColor theme="5"/>
                </patternFill>
              </fill>
            </x14:dxf>
          </x14:cfRule>
          <x14:cfRule type="cellIs" priority="249" operator="equal" id="{6BF930CD-DE46-4668-A2A2-D6E381773B54}">
            <xm:f>Coingecko_API!$B$8</xm:f>
            <x14:dxf>
              <fill>
                <patternFill>
                  <bgColor theme="8" tint="0.59996337778862885"/>
                </patternFill>
              </fill>
            </x14:dxf>
          </x14:cfRule>
          <x14:cfRule type="cellIs" priority="250" operator="equal" id="{F4F0983F-7193-4935-B934-29D35A98F971}">
            <xm:f>Coingecko_API!$B$7</xm:f>
            <x14:dxf>
              <fill>
                <patternFill>
                  <bgColor theme="0" tint="-0.24994659260841701"/>
                </patternFill>
              </fill>
            </x14:dxf>
          </x14:cfRule>
          <x14:cfRule type="cellIs" priority="251" operator="equal" id="{B957FB21-46AF-4FB2-BD98-8DC9434587C0}">
            <xm:f>Coingecko_API!$B$6</xm:f>
            <x14:dxf>
              <fill>
                <patternFill>
                  <bgColor theme="7"/>
                </patternFill>
              </fill>
            </x14:dxf>
          </x14:cfRule>
          <x14:cfRule type="cellIs" priority="252" operator="equal" id="{8B6796F8-524D-4008-8049-A37517C2BA67}">
            <xm:f>Coingecko_API!$B$5</xm:f>
            <x14:dxf>
              <fill>
                <patternFill>
                  <bgColor rgb="FF0070C0"/>
                </patternFill>
              </fill>
            </x14:dxf>
          </x14:cfRule>
          <x14:cfRule type="cellIs" priority="253" operator="equal" id="{6592AC60-02E0-4864-B037-D326536FAFB4}">
            <xm:f>Coingecko_API!$B$4</xm:f>
            <x14:dxf>
              <fill>
                <patternFill>
                  <bgColor theme="9" tint="-0.24994659260841701"/>
                </patternFill>
              </fill>
            </x14:dxf>
          </x14:cfRule>
          <x14:cfRule type="cellIs" priority="254" operator="equal" id="{9DC7A987-7EA0-4A48-AB62-77BB4246329D}">
            <xm:f>Coingecko_API!$B$3</xm:f>
            <x14:dxf>
              <fill>
                <patternFill>
                  <bgColor theme="3" tint="0.39994506668294322"/>
                </patternFill>
              </fill>
            </x14:dxf>
          </x14:cfRule>
          <x14:cfRule type="cellIs" priority="260" operator="equal" id="{A3D67A00-5932-456B-9ED1-4429A74769C4}">
            <xm:f>Coingecko_API!$B$2</xm:f>
            <x14:dxf>
              <fill>
                <patternFill>
                  <bgColor theme="5"/>
                </patternFill>
              </fill>
            </x14:dxf>
          </x14:cfRule>
          <xm:sqref>P76:P77</xm:sqref>
        </x14:conditionalFormatting>
        <x14:conditionalFormatting xmlns:xm="http://schemas.microsoft.com/office/excel/2006/main">
          <x14:cfRule type="cellIs" priority="232" operator="equal" id="{10D090B2-192B-4886-A082-7C0AD29A2704}">
            <xm:f>Coingecko_API!$B$3</xm:f>
            <x14:dxf>
              <fill>
                <patternFill>
                  <bgColor theme="3" tint="0.39994506668294322"/>
                </patternFill>
              </fill>
            </x14:dxf>
          </x14:cfRule>
          <x14:cfRule type="cellIs" priority="233" operator="equal" id="{54C04F45-B2A2-4291-8589-0195BC70918F}">
            <xm:f>Coingecko_API!$B$9</xm:f>
            <x14:dxf>
              <fill>
                <patternFill>
                  <bgColor theme="5"/>
                </patternFill>
              </fill>
            </x14:dxf>
          </x14:cfRule>
          <x14:cfRule type="cellIs" priority="234" operator="equal" id="{11384081-3E43-419F-A6B3-3E6525D63079}">
            <xm:f>Coingecko_API!$B$8</xm:f>
            <x14:dxf>
              <fill>
                <patternFill>
                  <bgColor theme="8" tint="0.59996337778862885"/>
                </patternFill>
              </fill>
            </x14:dxf>
          </x14:cfRule>
          <x14:cfRule type="cellIs" priority="235" operator="equal" id="{FB257BE5-26C5-4C4E-BD2F-4BED0015C7B9}">
            <xm:f>Coingecko_API!$B$7</xm:f>
            <x14:dxf>
              <fill>
                <patternFill>
                  <bgColor theme="0" tint="-0.24994659260841701"/>
                </patternFill>
              </fill>
            </x14:dxf>
          </x14:cfRule>
          <x14:cfRule type="cellIs" priority="236" operator="equal" id="{D1AABE90-30B4-4E95-BF5C-E9B6EB5EE4F8}">
            <xm:f>Coingecko_API!$B$6</xm:f>
            <x14:dxf>
              <fill>
                <patternFill>
                  <bgColor theme="7"/>
                </patternFill>
              </fill>
            </x14:dxf>
          </x14:cfRule>
          <x14:cfRule type="cellIs" priority="237" operator="equal" id="{EC1B9C74-CD4F-4653-8DA2-A20C530A19B8}">
            <xm:f>Coingecko_API!$B$5</xm:f>
            <x14:dxf>
              <fill>
                <patternFill>
                  <bgColor rgb="FF0070C0"/>
                </patternFill>
              </fill>
            </x14:dxf>
          </x14:cfRule>
          <x14:cfRule type="cellIs" priority="238" operator="equal" id="{88306973-9232-48B1-A1D7-F5F6EC97AB6A}">
            <xm:f>Coingecko_API!$B$4</xm:f>
            <x14:dxf>
              <fill>
                <patternFill>
                  <bgColor theme="9" tint="-0.24994659260841701"/>
                </patternFill>
              </fill>
            </x14:dxf>
          </x14:cfRule>
          <x14:cfRule type="cellIs" priority="239" operator="equal" id="{9130DBAE-A56F-4AD1-BB16-393ACB61736F}">
            <xm:f>Coingecko_API!$B$3</xm:f>
            <x14:dxf>
              <fill>
                <patternFill>
                  <bgColor theme="3" tint="0.39994506668294322"/>
                </patternFill>
              </fill>
            </x14:dxf>
          </x14:cfRule>
          <x14:cfRule type="cellIs" priority="245" operator="equal" id="{F1390A45-161C-4F22-A9A8-630F7AD2D300}">
            <xm:f>Coingecko_API!$B$2</xm:f>
            <x14:dxf>
              <fill>
                <patternFill>
                  <bgColor theme="5"/>
                </patternFill>
              </fill>
            </x14:dxf>
          </x14:cfRule>
          <xm:sqref>P81:P82</xm:sqref>
        </x14:conditionalFormatting>
        <x14:conditionalFormatting xmlns:xm="http://schemas.microsoft.com/office/excel/2006/main">
          <x14:cfRule type="cellIs" priority="217" operator="equal" id="{8235CAE9-F205-421E-85AA-CC59A07941E3}">
            <xm:f>Coingecko_API!$B$3</xm:f>
            <x14:dxf>
              <fill>
                <patternFill>
                  <bgColor theme="3" tint="0.39994506668294322"/>
                </patternFill>
              </fill>
            </x14:dxf>
          </x14:cfRule>
          <x14:cfRule type="cellIs" priority="218" operator="equal" id="{9B18C62B-C668-4BA0-93E5-E9393BF6950F}">
            <xm:f>Coingecko_API!$B$9</xm:f>
            <x14:dxf>
              <fill>
                <patternFill>
                  <bgColor theme="5"/>
                </patternFill>
              </fill>
            </x14:dxf>
          </x14:cfRule>
          <x14:cfRule type="cellIs" priority="219" operator="equal" id="{4D648907-E500-425E-89B5-DDFD02A93037}">
            <xm:f>Coingecko_API!$B$8</xm:f>
            <x14:dxf>
              <fill>
                <patternFill>
                  <bgColor theme="8" tint="0.59996337778862885"/>
                </patternFill>
              </fill>
            </x14:dxf>
          </x14:cfRule>
          <x14:cfRule type="cellIs" priority="220" operator="equal" id="{B04BF8CF-9E7C-47A2-AFCE-A9365333AA65}">
            <xm:f>Coingecko_API!$B$7</xm:f>
            <x14:dxf>
              <fill>
                <patternFill>
                  <bgColor theme="0" tint="-0.24994659260841701"/>
                </patternFill>
              </fill>
            </x14:dxf>
          </x14:cfRule>
          <x14:cfRule type="cellIs" priority="221" operator="equal" id="{9B890AA6-D09A-4C3C-8F0E-E93184D7021D}">
            <xm:f>Coingecko_API!$B$6</xm:f>
            <x14:dxf>
              <fill>
                <patternFill>
                  <bgColor theme="7"/>
                </patternFill>
              </fill>
            </x14:dxf>
          </x14:cfRule>
          <x14:cfRule type="cellIs" priority="222" operator="equal" id="{C091D8C3-2B8F-478F-A419-A9FD953D912E}">
            <xm:f>Coingecko_API!$B$5</xm:f>
            <x14:dxf>
              <fill>
                <patternFill>
                  <bgColor rgb="FF0070C0"/>
                </patternFill>
              </fill>
            </x14:dxf>
          </x14:cfRule>
          <x14:cfRule type="cellIs" priority="223" operator="equal" id="{8671C4B5-C9F5-43F0-BD81-B451A9CF9A6D}">
            <xm:f>Coingecko_API!$B$4</xm:f>
            <x14:dxf>
              <fill>
                <patternFill>
                  <bgColor theme="9" tint="-0.24994659260841701"/>
                </patternFill>
              </fill>
            </x14:dxf>
          </x14:cfRule>
          <x14:cfRule type="cellIs" priority="224" operator="equal" id="{D6D6BB2D-1B4B-436D-90D6-A984BDED8BA6}">
            <xm:f>Coingecko_API!$B$3</xm:f>
            <x14:dxf>
              <fill>
                <patternFill>
                  <bgColor theme="3" tint="0.39994506668294322"/>
                </patternFill>
              </fill>
            </x14:dxf>
          </x14:cfRule>
          <x14:cfRule type="cellIs" priority="230" operator="equal" id="{62915A8B-067B-4C82-82FF-E65A6F35ECA6}">
            <xm:f>Coingecko_API!$B$2</xm:f>
            <x14:dxf>
              <fill>
                <patternFill>
                  <bgColor theme="5"/>
                </patternFill>
              </fill>
            </x14:dxf>
          </x14:cfRule>
          <xm:sqref>P86:P87</xm:sqref>
        </x14:conditionalFormatting>
        <x14:conditionalFormatting xmlns:xm="http://schemas.microsoft.com/office/excel/2006/main">
          <x14:cfRule type="cellIs" priority="202" operator="equal" id="{3D877494-30B3-4BD0-AD3F-8B278D71D3A4}">
            <xm:f>Coingecko_API!$B$3</xm:f>
            <x14:dxf>
              <fill>
                <patternFill>
                  <bgColor theme="3" tint="0.39994506668294322"/>
                </patternFill>
              </fill>
            </x14:dxf>
          </x14:cfRule>
          <x14:cfRule type="cellIs" priority="203" operator="equal" id="{E60B2A4E-0FAF-467F-9B10-C6E446C373FA}">
            <xm:f>Coingecko_API!$B$9</xm:f>
            <x14:dxf>
              <fill>
                <patternFill>
                  <bgColor theme="5"/>
                </patternFill>
              </fill>
            </x14:dxf>
          </x14:cfRule>
          <x14:cfRule type="cellIs" priority="204" operator="equal" id="{3C8702EC-8498-4428-B953-56E01123A74F}">
            <xm:f>Coingecko_API!$B$8</xm:f>
            <x14:dxf>
              <fill>
                <patternFill>
                  <bgColor theme="8" tint="0.59996337778862885"/>
                </patternFill>
              </fill>
            </x14:dxf>
          </x14:cfRule>
          <x14:cfRule type="cellIs" priority="205" operator="equal" id="{D71861C8-075B-4DE8-B8C4-965B6E166374}">
            <xm:f>Coingecko_API!$B$7</xm:f>
            <x14:dxf>
              <fill>
                <patternFill>
                  <bgColor theme="0" tint="-0.24994659260841701"/>
                </patternFill>
              </fill>
            </x14:dxf>
          </x14:cfRule>
          <x14:cfRule type="cellIs" priority="206" operator="equal" id="{1CBF678D-1F62-48D8-A338-186ACC38762F}">
            <xm:f>Coingecko_API!$B$6</xm:f>
            <x14:dxf>
              <fill>
                <patternFill>
                  <bgColor theme="7"/>
                </patternFill>
              </fill>
            </x14:dxf>
          </x14:cfRule>
          <x14:cfRule type="cellIs" priority="207" operator="equal" id="{3C467A7A-B48F-43EB-93BB-556DC74B7F6C}">
            <xm:f>Coingecko_API!$B$5</xm:f>
            <x14:dxf>
              <fill>
                <patternFill>
                  <bgColor rgb="FF0070C0"/>
                </patternFill>
              </fill>
            </x14:dxf>
          </x14:cfRule>
          <x14:cfRule type="cellIs" priority="208" operator="equal" id="{8844115C-4B1D-4EFE-BA1E-1A3690BDF03A}">
            <xm:f>Coingecko_API!$B$4</xm:f>
            <x14:dxf>
              <fill>
                <patternFill>
                  <bgColor theme="9" tint="-0.24994659260841701"/>
                </patternFill>
              </fill>
            </x14:dxf>
          </x14:cfRule>
          <x14:cfRule type="cellIs" priority="209" operator="equal" id="{9590435F-CD1F-4552-8C86-C4919508DC9C}">
            <xm:f>Coingecko_API!$B$3</xm:f>
            <x14:dxf>
              <fill>
                <patternFill>
                  <bgColor theme="3" tint="0.39994506668294322"/>
                </patternFill>
              </fill>
            </x14:dxf>
          </x14:cfRule>
          <x14:cfRule type="cellIs" priority="215" operator="equal" id="{0E2F0C18-2224-4850-9441-DDCC75340F27}">
            <xm:f>Coingecko_API!$B$2</xm:f>
            <x14:dxf>
              <fill>
                <patternFill>
                  <bgColor theme="5"/>
                </patternFill>
              </fill>
            </x14:dxf>
          </x14:cfRule>
          <xm:sqref>P91:P92</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C7C78D-710A-4B40-9145-F3D63CA40B3B}">
  <sheetPr codeName="Sheet3">
    <tabColor rgb="FFFF99FF"/>
  </sheetPr>
  <dimension ref="A1:J36"/>
  <sheetViews>
    <sheetView tabSelected="1" zoomScale="60" zoomScaleNormal="60" workbookViewId="0">
      <selection activeCell="D23" sqref="D23"/>
    </sheetView>
  </sheetViews>
  <sheetFormatPr defaultRowHeight="14.4" x14ac:dyDescent="0.3"/>
  <cols>
    <col min="1" max="1" width="17.33203125" style="207" bestFit="1" customWidth="1"/>
    <col min="2" max="2" width="41.21875" style="207" bestFit="1" customWidth="1"/>
    <col min="3" max="3" width="22.88671875" style="207" bestFit="1" customWidth="1"/>
    <col min="4" max="4" width="36.77734375" style="207" bestFit="1" customWidth="1"/>
    <col min="5" max="5" width="34.5546875" style="207" customWidth="1"/>
    <col min="6" max="6" width="24.109375" style="207" bestFit="1" customWidth="1"/>
    <col min="7" max="8" width="25.5546875" style="207" bestFit="1" customWidth="1"/>
    <col min="9" max="9" width="24" style="207" bestFit="1" customWidth="1"/>
    <col min="10" max="10" width="16.109375" style="207" bestFit="1" customWidth="1"/>
    <col min="11" max="11" width="26" style="207" bestFit="1" customWidth="1"/>
    <col min="12" max="12" width="25.109375" style="207" bestFit="1" customWidth="1"/>
    <col min="13" max="13" width="25.77734375" style="207" bestFit="1" customWidth="1"/>
    <col min="14" max="14" width="26.77734375" style="207" bestFit="1" customWidth="1"/>
    <col min="15" max="15" width="33.33203125" style="207" bestFit="1" customWidth="1"/>
    <col min="16" max="16384" width="8.88671875" style="207"/>
  </cols>
  <sheetData>
    <row r="1" spans="1:10" x14ac:dyDescent="0.3">
      <c r="A1" s="217"/>
      <c r="B1" s="217"/>
      <c r="C1" s="217"/>
      <c r="D1" s="217"/>
      <c r="E1" s="217"/>
      <c r="F1" s="217"/>
      <c r="G1" s="217"/>
      <c r="H1" s="217"/>
      <c r="I1" s="217"/>
      <c r="J1" s="217"/>
    </row>
    <row r="2" spans="1:10" ht="48.6" customHeight="1" x14ac:dyDescent="0.3">
      <c r="A2" s="217"/>
      <c r="B2" s="217"/>
      <c r="C2" s="217"/>
      <c r="D2" s="217"/>
      <c r="E2" s="217"/>
      <c r="F2" s="217"/>
      <c r="G2" s="217"/>
      <c r="H2" s="217"/>
      <c r="I2" s="217"/>
      <c r="J2" s="217"/>
    </row>
    <row r="3" spans="1:10" x14ac:dyDescent="0.3">
      <c r="A3" s="217"/>
      <c r="B3" s="217"/>
      <c r="C3" s="217"/>
      <c r="D3" s="217"/>
      <c r="E3" s="217"/>
      <c r="F3" s="217"/>
      <c r="G3" s="217"/>
      <c r="H3" s="217"/>
      <c r="I3" s="217"/>
      <c r="J3" s="217"/>
    </row>
    <row r="4" spans="1:10" ht="25.8" x14ac:dyDescent="0.3">
      <c r="A4" s="223" t="s">
        <v>2</v>
      </c>
      <c r="B4" s="224" t="s">
        <v>1099</v>
      </c>
      <c r="C4" s="225" t="s">
        <v>6</v>
      </c>
      <c r="D4" s="226" t="s">
        <v>1098</v>
      </c>
      <c r="E4" s="217"/>
      <c r="F4" s="217"/>
      <c r="G4" s="217"/>
      <c r="H4" s="217"/>
      <c r="I4" s="217"/>
    </row>
    <row r="5" spans="1:10" ht="21" x14ac:dyDescent="0.3">
      <c r="A5" s="227" t="s">
        <v>44</v>
      </c>
      <c r="B5" s="250">
        <f>IFERROR(VLOOKUP(A5,Coingecko_API!$B$1:$AD$300,4,FALSE),0)</f>
        <v>21681</v>
      </c>
      <c r="C5" s="228">
        <f>IFERROR(SUMIF(Purchases!E:E,A5,Purchases!I:I),0)</f>
        <v>1.6666666666666666E-2</v>
      </c>
      <c r="D5" s="229">
        <f>SUM(Table02_PortfolioLite[[#This Row],[Current Price/Coin]]*Table02_PortfolioLite[[#This Row],[Quantity]])</f>
        <v>361.35</v>
      </c>
      <c r="E5" s="217"/>
      <c r="F5" s="217"/>
      <c r="G5" s="217"/>
      <c r="H5" s="217"/>
      <c r="I5" s="217"/>
    </row>
    <row r="6" spans="1:10" ht="21" x14ac:dyDescent="0.3">
      <c r="A6" s="227" t="s">
        <v>50</v>
      </c>
      <c r="B6" s="250">
        <f>IFERROR(VLOOKUP(A6,Coingecko_API!$B$1:$AD$300,4,FALSE),0)</f>
        <v>1180.99</v>
      </c>
      <c r="C6" s="228">
        <f>IFERROR(SUMIF(Purchases!E:E,A6,Purchases!I:I),0)</f>
        <v>0.22</v>
      </c>
      <c r="D6" s="229">
        <f>SUM(Table02_PortfolioLite[[#This Row],[Current Price/Coin]]*Table02_PortfolioLite[[#This Row],[Quantity]])</f>
        <v>259.81779999999998</v>
      </c>
      <c r="E6" s="217"/>
      <c r="F6" s="217"/>
      <c r="G6" s="217"/>
      <c r="H6" s="217"/>
      <c r="I6" s="217"/>
    </row>
    <row r="7" spans="1:10" ht="21" x14ac:dyDescent="0.3">
      <c r="A7" s="227" t="s">
        <v>1093</v>
      </c>
      <c r="B7" s="250">
        <f>IFERROR(VLOOKUP(A7,Coingecko_API!$B$1:$AD$300,4,FALSE),0)</f>
        <v>1</v>
      </c>
      <c r="C7" s="228">
        <f>IFERROR(SUMIF(Purchases!E:E,A7,Purchases!I:I),0)</f>
        <v>0</v>
      </c>
      <c r="D7" s="229">
        <f>SUM(Table02_PortfolioLite[[#This Row],[Current Price/Coin]]*Table02_PortfolioLite[[#This Row],[Quantity]])</f>
        <v>0</v>
      </c>
      <c r="E7" s="217"/>
      <c r="F7" s="217"/>
      <c r="G7" s="217"/>
      <c r="H7" s="217"/>
      <c r="I7" s="217"/>
    </row>
    <row r="8" spans="1:10" ht="21" x14ac:dyDescent="0.3">
      <c r="A8" s="230" t="s">
        <v>1108</v>
      </c>
      <c r="B8" s="231"/>
      <c r="C8" s="232"/>
      <c r="D8" s="288">
        <f>SUBTOTAL(109,Table02_PortfolioLite[Current Balance])</f>
        <v>621.16779999999994</v>
      </c>
      <c r="E8" s="217"/>
      <c r="F8" s="217"/>
      <c r="G8" s="217"/>
      <c r="H8" s="217"/>
      <c r="I8" s="217"/>
    </row>
    <row r="9" spans="1:10" x14ac:dyDescent="0.3">
      <c r="A9" s="217"/>
      <c r="B9" s="217"/>
      <c r="C9" s="217"/>
      <c r="D9" s="217"/>
      <c r="E9" s="217"/>
      <c r="F9" s="217"/>
      <c r="G9" s="217"/>
      <c r="H9" s="217"/>
      <c r="I9" s="217"/>
    </row>
    <row r="10" spans="1:10" x14ac:dyDescent="0.3">
      <c r="A10" s="217"/>
      <c r="B10" s="217"/>
      <c r="C10" s="217"/>
      <c r="D10" s="217"/>
      <c r="E10" s="217"/>
      <c r="F10" s="217"/>
      <c r="G10" s="217"/>
      <c r="H10" s="217"/>
      <c r="I10" s="217"/>
    </row>
    <row r="11" spans="1:10" x14ac:dyDescent="0.3">
      <c r="A11" s="217"/>
      <c r="B11" s="217"/>
      <c r="C11" s="217"/>
      <c r="D11" s="217"/>
      <c r="E11" s="217"/>
      <c r="F11" s="217"/>
      <c r="G11" s="217"/>
      <c r="H11" s="217"/>
      <c r="I11" s="217"/>
    </row>
    <row r="12" spans="1:10" x14ac:dyDescent="0.3">
      <c r="A12" s="217"/>
      <c r="B12" s="217"/>
      <c r="C12" s="217"/>
      <c r="D12" s="217"/>
      <c r="E12" s="217"/>
      <c r="F12" s="217"/>
      <c r="G12" s="217"/>
      <c r="H12" s="217"/>
      <c r="I12" s="217"/>
    </row>
    <row r="13" spans="1:10" x14ac:dyDescent="0.3">
      <c r="A13" s="217"/>
      <c r="B13" s="217"/>
      <c r="C13" s="217"/>
      <c r="D13" s="217"/>
      <c r="E13" s="217"/>
      <c r="F13" s="217"/>
      <c r="G13" s="217"/>
      <c r="H13" s="217"/>
      <c r="I13" s="217"/>
    </row>
    <row r="14" spans="1:10" x14ac:dyDescent="0.3">
      <c r="A14" s="217"/>
      <c r="B14" s="217"/>
      <c r="C14" s="217"/>
      <c r="D14" s="217"/>
      <c r="E14" s="217"/>
      <c r="F14" s="217"/>
      <c r="G14" s="217"/>
      <c r="H14" s="217"/>
      <c r="I14" s="217"/>
    </row>
    <row r="15" spans="1:10" x14ac:dyDescent="0.3">
      <c r="A15" s="217"/>
      <c r="B15" s="217"/>
      <c r="C15" s="217"/>
      <c r="D15" s="217"/>
      <c r="E15" s="217"/>
      <c r="F15" s="217"/>
      <c r="G15" s="217"/>
      <c r="H15" s="217"/>
      <c r="I15" s="217"/>
    </row>
    <row r="16" spans="1:10" x14ac:dyDescent="0.3">
      <c r="A16" s="217"/>
      <c r="B16" s="217"/>
      <c r="C16" s="217"/>
      <c r="D16" s="217"/>
      <c r="E16" s="217"/>
      <c r="F16" s="217"/>
      <c r="G16" s="217"/>
      <c r="H16" s="217"/>
      <c r="I16" s="217"/>
    </row>
    <row r="17" spans="1:10" x14ac:dyDescent="0.3">
      <c r="A17" s="217"/>
      <c r="B17" s="217"/>
      <c r="C17" s="217"/>
      <c r="D17" s="217"/>
      <c r="E17" s="217"/>
      <c r="F17" s="217"/>
      <c r="G17" s="217"/>
      <c r="H17" s="217"/>
      <c r="I17" s="217"/>
      <c r="J17" s="217"/>
    </row>
    <row r="18" spans="1:10" x14ac:dyDescent="0.3">
      <c r="A18" s="217"/>
      <c r="B18" s="217"/>
      <c r="C18" s="217"/>
      <c r="D18" s="217"/>
      <c r="E18" s="217"/>
      <c r="F18" s="217"/>
      <c r="G18" s="217"/>
      <c r="H18" s="217"/>
      <c r="I18" s="217"/>
      <c r="J18" s="217"/>
    </row>
    <row r="19" spans="1:10" x14ac:dyDescent="0.3">
      <c r="A19" s="217"/>
      <c r="B19" s="217"/>
      <c r="C19" s="217"/>
      <c r="D19" s="217"/>
      <c r="E19" s="217"/>
      <c r="F19" s="217"/>
      <c r="G19" s="217"/>
      <c r="H19" s="217"/>
      <c r="I19" s="217"/>
      <c r="J19" s="217"/>
    </row>
    <row r="20" spans="1:10" x14ac:dyDescent="0.3">
      <c r="A20" s="217"/>
      <c r="B20" s="217"/>
      <c r="C20" s="217"/>
      <c r="D20" s="217"/>
      <c r="E20" s="217"/>
      <c r="F20" s="217"/>
      <c r="G20" s="217"/>
      <c r="H20" s="217"/>
      <c r="I20" s="217"/>
      <c r="J20" s="217"/>
    </row>
    <row r="21" spans="1:10" x14ac:dyDescent="0.3">
      <c r="A21" s="217"/>
      <c r="B21" s="217"/>
      <c r="C21" s="217"/>
      <c r="D21" s="217"/>
      <c r="E21" s="217"/>
      <c r="F21" s="217"/>
      <c r="G21" s="217"/>
      <c r="H21" s="217"/>
      <c r="I21" s="217"/>
      <c r="J21" s="217"/>
    </row>
    <row r="22" spans="1:10" x14ac:dyDescent="0.3">
      <c r="A22" s="217"/>
      <c r="B22" s="217"/>
      <c r="C22" s="217"/>
      <c r="D22" s="217"/>
      <c r="E22" s="217"/>
      <c r="F22" s="217"/>
      <c r="G22" s="217"/>
      <c r="H22" s="217"/>
      <c r="I22" s="217"/>
      <c r="J22" s="217"/>
    </row>
    <row r="23" spans="1:10" x14ac:dyDescent="0.3">
      <c r="A23" s="217"/>
      <c r="B23" s="217"/>
      <c r="C23" s="217"/>
      <c r="D23" s="217"/>
      <c r="E23" s="217"/>
      <c r="F23" s="217"/>
      <c r="G23" s="217"/>
      <c r="H23" s="217"/>
      <c r="I23" s="217"/>
      <c r="J23" s="217"/>
    </row>
    <row r="24" spans="1:10" x14ac:dyDescent="0.3">
      <c r="A24" s="217"/>
      <c r="B24" s="217"/>
      <c r="C24" s="217"/>
      <c r="D24" s="217"/>
      <c r="E24" s="217"/>
      <c r="F24" s="217"/>
      <c r="G24" s="217"/>
      <c r="H24" s="217"/>
      <c r="I24" s="217"/>
      <c r="J24" s="217"/>
    </row>
    <row r="25" spans="1:10" x14ac:dyDescent="0.3">
      <c r="A25" s="217"/>
      <c r="B25" s="217"/>
      <c r="C25" s="217"/>
      <c r="D25" s="217"/>
      <c r="E25" s="217"/>
      <c r="F25" s="217"/>
      <c r="G25" s="217"/>
      <c r="H25" s="217"/>
      <c r="I25" s="217"/>
      <c r="J25" s="217"/>
    </row>
    <row r="26" spans="1:10" x14ac:dyDescent="0.3">
      <c r="A26" s="217"/>
      <c r="B26" s="217"/>
      <c r="C26" s="217"/>
      <c r="D26" s="217"/>
      <c r="E26" s="217"/>
      <c r="F26" s="217"/>
      <c r="G26" s="217"/>
      <c r="H26" s="217"/>
      <c r="I26" s="217"/>
      <c r="J26" s="217"/>
    </row>
    <row r="27" spans="1:10" x14ac:dyDescent="0.3">
      <c r="A27" s="217"/>
      <c r="B27" s="217"/>
      <c r="C27" s="217"/>
      <c r="D27" s="217"/>
      <c r="E27" s="217"/>
      <c r="F27" s="217"/>
      <c r="G27" s="217"/>
      <c r="H27" s="217"/>
      <c r="I27" s="217"/>
      <c r="J27" s="217"/>
    </row>
    <row r="28" spans="1:10" x14ac:dyDescent="0.3">
      <c r="A28" s="217"/>
      <c r="B28" s="217"/>
      <c r="C28" s="217"/>
      <c r="D28" s="217"/>
      <c r="E28" s="217"/>
      <c r="F28" s="217"/>
      <c r="G28" s="217"/>
      <c r="H28" s="217"/>
      <c r="I28" s="217"/>
      <c r="J28" s="217"/>
    </row>
    <row r="29" spans="1:10" x14ac:dyDescent="0.3">
      <c r="E29" s="217"/>
      <c r="F29" s="217"/>
      <c r="G29" s="217"/>
      <c r="H29" s="217"/>
      <c r="I29" s="217"/>
      <c r="J29" s="217"/>
    </row>
    <row r="30" spans="1:10" x14ac:dyDescent="0.3">
      <c r="E30" s="217"/>
      <c r="F30" s="217"/>
      <c r="G30" s="217"/>
      <c r="H30" s="217"/>
      <c r="I30" s="217"/>
      <c r="J30" s="217"/>
    </row>
    <row r="31" spans="1:10" x14ac:dyDescent="0.3">
      <c r="E31" s="217"/>
      <c r="F31" s="217"/>
      <c r="G31" s="217"/>
      <c r="H31" s="217"/>
      <c r="I31" s="217"/>
      <c r="J31" s="217"/>
    </row>
    <row r="32" spans="1:10" x14ac:dyDescent="0.3">
      <c r="E32" s="217"/>
      <c r="F32" s="217"/>
      <c r="G32" s="217"/>
      <c r="H32" s="217"/>
      <c r="I32" s="217"/>
      <c r="J32" s="217"/>
    </row>
    <row r="33" spans="5:10" x14ac:dyDescent="0.3">
      <c r="E33" s="217"/>
      <c r="F33" s="217"/>
      <c r="G33" s="217"/>
      <c r="H33" s="217"/>
      <c r="I33" s="217"/>
      <c r="J33" s="217"/>
    </row>
    <row r="34" spans="5:10" x14ac:dyDescent="0.3">
      <c r="E34" s="217"/>
      <c r="F34" s="217"/>
      <c r="G34" s="217"/>
      <c r="H34" s="217"/>
      <c r="I34" s="217"/>
      <c r="J34" s="217"/>
    </row>
    <row r="35" spans="5:10" x14ac:dyDescent="0.3">
      <c r="E35" s="217"/>
      <c r="F35" s="217"/>
      <c r="G35" s="217"/>
      <c r="H35" s="217"/>
      <c r="I35" s="217"/>
      <c r="J35" s="217"/>
    </row>
    <row r="36" spans="5:10" x14ac:dyDescent="0.3">
      <c r="E36" s="217"/>
      <c r="F36" s="217"/>
      <c r="G36" s="217"/>
      <c r="H36" s="217"/>
      <c r="I36" s="217"/>
      <c r="J36" s="217"/>
    </row>
  </sheetData>
  <sheetProtection formatColumns="0" formatRows="0" sort="0"/>
  <dataValidations xWindow="40" yWindow="820" count="4">
    <dataValidation allowBlank="1" showInputMessage="1" showErrorMessage="1" promptTitle="Current coin price" prompt="INFO:_x000a_Current prices of the cypto assets." sqref="B4:B7" xr:uid="{42F5C4AA-F986-4960-B7C4-5B80908FEC46}"/>
    <dataValidation allowBlank="1" showInputMessage="1" showErrorMessage="1" promptTitle="Crypto coin quantity" prompt="INFO:_x000a_Number of individual crypto asset coins held." sqref="C4:C7" xr:uid="{2C6BC6D3-1B5A-44E2-BDB1-B7CCE0501E24}"/>
    <dataValidation allowBlank="1" showInputMessage="1" showErrorMessage="1" promptTitle="Current portfolio balance" prompt="INFO:_x000a_Current balances of your cypto assets." sqref="D4:D7" xr:uid="{7AE3C4D5-1317-4C99-921C-84AFDA49CE56}"/>
    <dataValidation allowBlank="1" showInputMessage="1" showErrorMessage="1" promptTitle="Asset symbols" prompt="INFO:_x000a_Your portfolio assets listed by symbols. _x000a_Listed by current balance." sqref="A4:A7" xr:uid="{3DEA932E-15A4-4DFA-B119-147FDC53A5A3}"/>
  </dataValidations>
  <pageMargins left="0.7" right="0.7" top="0.75" bottom="0.75" header="0.3" footer="0.3"/>
  <pageSetup paperSize="9" orientation="portrait" r:id="rId1"/>
  <headerFooter>
    <oddHeader>&amp;Rby MUSHROOM&amp;CCrypto Sheets&amp;L2022</oddHeader>
    <oddFooter>&amp;Rby MUSHROOM&amp;CCrypto Sheets&amp;L2022</oddFooter>
  </headerFooter>
  <drawing r:id="rId2"/>
  <legacyDrawing r:id="rId3"/>
  <controls>
    <mc:AlternateContent xmlns:mc="http://schemas.openxmlformats.org/markup-compatibility/2006">
      <mc:Choice Requires="x14">
        <control shapeId="4111" r:id="rId4" name="CommandButton2">
          <controlPr defaultSize="0" autoLine="0" r:id="rId5">
            <anchor moveWithCells="1">
              <from>
                <xdr:col>2</xdr:col>
                <xdr:colOff>617220</xdr:colOff>
                <xdr:row>0</xdr:row>
                <xdr:rowOff>0</xdr:rowOff>
              </from>
              <to>
                <xdr:col>3</xdr:col>
                <xdr:colOff>1790700</xdr:colOff>
                <xdr:row>1</xdr:row>
                <xdr:rowOff>289560</xdr:rowOff>
              </to>
            </anchor>
          </controlPr>
        </control>
      </mc:Choice>
      <mc:Fallback>
        <control shapeId="4111" r:id="rId4" name="CommandButton2"/>
      </mc:Fallback>
    </mc:AlternateContent>
    <mc:AlternateContent xmlns:mc="http://schemas.openxmlformats.org/markup-compatibility/2006">
      <mc:Choice Requires="x14">
        <control shapeId="4110" r:id="rId6" name="CommandButton3">
          <controlPr defaultSize="0" autoLine="0" r:id="rId7">
            <anchor moveWithCells="1">
              <from>
                <xdr:col>4</xdr:col>
                <xdr:colOff>1729740</xdr:colOff>
                <xdr:row>0</xdr:row>
                <xdr:rowOff>0</xdr:rowOff>
              </from>
              <to>
                <xdr:col>6</xdr:col>
                <xdr:colOff>1188720</xdr:colOff>
                <xdr:row>1</xdr:row>
                <xdr:rowOff>289560</xdr:rowOff>
              </to>
            </anchor>
          </controlPr>
        </control>
      </mc:Choice>
      <mc:Fallback>
        <control shapeId="4110" r:id="rId6" name="CommandButton3"/>
      </mc:Fallback>
    </mc:AlternateContent>
    <mc:AlternateContent xmlns:mc="http://schemas.openxmlformats.org/markup-compatibility/2006">
      <mc:Choice Requires="x14">
        <control shapeId="4105" r:id="rId8" name="PortfolioPro1">
          <controlPr defaultSize="0" autoLine="0" r:id="rId9">
            <anchor moveWithCells="1">
              <from>
                <xdr:col>0</xdr:col>
                <xdr:colOff>0</xdr:colOff>
                <xdr:row>0</xdr:row>
                <xdr:rowOff>0</xdr:rowOff>
              </from>
              <to>
                <xdr:col>1</xdr:col>
                <xdr:colOff>982980</xdr:colOff>
                <xdr:row>1</xdr:row>
                <xdr:rowOff>289560</xdr:rowOff>
              </to>
            </anchor>
          </controlPr>
        </control>
      </mc:Choice>
      <mc:Fallback>
        <control shapeId="4105" r:id="rId8" name="PortfolioPro1"/>
      </mc:Fallback>
    </mc:AlternateContent>
    <mc:AlternateContent xmlns:mc="http://schemas.openxmlformats.org/markup-compatibility/2006">
      <mc:Choice Requires="x14">
        <control shapeId="4104" r:id="rId10" name="Purchases1">
          <controlPr defaultSize="0" autoLine="0" r:id="rId11">
            <anchor moveWithCells="1">
              <from>
                <xdr:col>1</xdr:col>
                <xdr:colOff>1127760</xdr:colOff>
                <xdr:row>0</xdr:row>
                <xdr:rowOff>0</xdr:rowOff>
              </from>
              <to>
                <xdr:col>2</xdr:col>
                <xdr:colOff>480060</xdr:colOff>
                <xdr:row>1</xdr:row>
                <xdr:rowOff>289560</xdr:rowOff>
              </to>
            </anchor>
          </controlPr>
        </control>
      </mc:Choice>
      <mc:Fallback>
        <control shapeId="4104" r:id="rId10" name="Purchases1"/>
      </mc:Fallback>
    </mc:AlternateContent>
    <mc:AlternateContent xmlns:mc="http://schemas.openxmlformats.org/markup-compatibility/2006">
      <mc:Choice Requires="x14">
        <control shapeId="4103" r:id="rId12" name="Refresh1">
          <controlPr defaultSize="0" autoLine="0" r:id="rId13">
            <anchor moveWithCells="1">
              <from>
                <xdr:col>3</xdr:col>
                <xdr:colOff>1935480</xdr:colOff>
                <xdr:row>0</xdr:row>
                <xdr:rowOff>0</xdr:rowOff>
              </from>
              <to>
                <xdr:col>4</xdr:col>
                <xdr:colOff>1584960</xdr:colOff>
                <xdr:row>1</xdr:row>
                <xdr:rowOff>289560</xdr:rowOff>
              </to>
            </anchor>
          </controlPr>
        </control>
      </mc:Choice>
      <mc:Fallback>
        <control shapeId="4103" r:id="rId12" name="Refresh1"/>
      </mc:Fallback>
    </mc:AlternateContent>
  </controls>
  <tableParts count="1">
    <tablePart r:id="rId1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3C4B1-97E7-42E8-8AC7-3746669B91AB}">
  <sheetPr codeName="Sheet2">
    <tabColor rgb="FFFF00FF"/>
  </sheetPr>
  <dimension ref="A1:X190"/>
  <sheetViews>
    <sheetView topLeftCell="B11" zoomScale="40" zoomScaleNormal="40" workbookViewId="0">
      <selection activeCell="O2" sqref="O2"/>
    </sheetView>
  </sheetViews>
  <sheetFormatPr defaultColWidth="20.77734375" defaultRowHeight="14.4" x14ac:dyDescent="0.3"/>
  <cols>
    <col min="1" max="1" width="13.21875" style="106" bestFit="1" customWidth="1"/>
    <col min="2" max="2" width="24.33203125" style="106" bestFit="1" customWidth="1"/>
    <col min="3" max="3" width="16.21875" style="106" bestFit="1" customWidth="1"/>
    <col min="4" max="4" width="26.21875" style="106" bestFit="1" customWidth="1"/>
    <col min="5" max="5" width="23.21875" style="106" bestFit="1" customWidth="1"/>
    <col min="6" max="6" width="27.109375" style="106" bestFit="1" customWidth="1"/>
    <col min="7" max="8" width="28.44140625" style="106" bestFit="1" customWidth="1"/>
    <col min="9" max="9" width="26.77734375" style="106" bestFit="1" customWidth="1"/>
    <col min="10" max="10" width="16.6640625" style="106" bestFit="1" customWidth="1"/>
    <col min="11" max="11" width="28.44140625" style="106" bestFit="1" customWidth="1"/>
    <col min="12" max="12" width="27.109375" style="106" bestFit="1" customWidth="1"/>
    <col min="13" max="13" width="28.44140625" style="108" bestFit="1" customWidth="1"/>
    <col min="14" max="14" width="28.77734375" style="106" bestFit="1" customWidth="1"/>
    <col min="15" max="15" width="35.109375" style="106" bestFit="1" customWidth="1"/>
    <col min="16" max="16" width="9.21875" style="106" bestFit="1" customWidth="1"/>
    <col min="17" max="17" width="35.21875" style="106" customWidth="1"/>
    <col min="18" max="19" width="20.77734375" style="106"/>
    <col min="20" max="20" width="14.33203125" style="106" customWidth="1"/>
    <col min="21" max="21" width="20.77734375" style="108"/>
    <col min="22" max="16384" width="20.77734375" style="106"/>
  </cols>
  <sheetData>
    <row r="1" spans="1:24" ht="21.6" thickTop="1" x14ac:dyDescent="0.3">
      <c r="J1" s="126" t="s">
        <v>1130</v>
      </c>
      <c r="K1" s="127" t="str">
        <f ca="1">IFERROR(_xlfn.DAYS(TODAY(),ExtractedDataTables!AA1) &amp; " d","")</f>
        <v>151 d</v>
      </c>
      <c r="L1" s="8" t="s">
        <v>1159</v>
      </c>
      <c r="M1" s="249">
        <f>SUM(Coingecko_API!$F$2:$F$299)/1000000000</f>
        <v>938.54316923600004</v>
      </c>
      <c r="Q1" s="185"/>
    </row>
    <row r="2" spans="1:24" ht="21" x14ac:dyDescent="0.3">
      <c r="J2" s="128" t="s">
        <v>1131</v>
      </c>
      <c r="K2" s="129" t="str">
        <f>COUNTA(Table1[[#Data],[#Totals],[Date]]) &amp;" trades"</f>
        <v>5 trades</v>
      </c>
      <c r="M2" s="106"/>
      <c r="Q2" s="185"/>
      <c r="R2" s="188"/>
      <c r="S2" s="188"/>
      <c r="T2" s="188"/>
    </row>
    <row r="3" spans="1:24" ht="21.6" thickBot="1" x14ac:dyDescent="0.35">
      <c r="J3" s="130" t="s">
        <v>1158</v>
      </c>
      <c r="K3" s="131" t="str">
        <f>COUNTA(Table02_PortfolioPro[[#Data],[#Totals],[Asset]]) &amp; " coins"</f>
        <v>3 coins</v>
      </c>
      <c r="M3" s="106"/>
      <c r="R3" s="188"/>
      <c r="S3" s="188"/>
      <c r="T3" s="188"/>
    </row>
    <row r="4" spans="1:24" ht="18.600000000000001" thickTop="1" x14ac:dyDescent="0.3">
      <c r="A4" s="200"/>
      <c r="B4" s="200"/>
      <c r="C4" s="200"/>
      <c r="D4" s="200"/>
      <c r="E4" s="200"/>
      <c r="F4" s="200"/>
      <c r="G4" s="200"/>
      <c r="H4" s="201"/>
      <c r="I4" s="201"/>
      <c r="J4" s="201"/>
      <c r="K4" s="201"/>
      <c r="L4" s="201"/>
      <c r="M4" s="202"/>
      <c r="N4" s="201"/>
      <c r="O4" s="200"/>
      <c r="P4" s="7"/>
      <c r="Q4" s="7"/>
      <c r="R4" s="7"/>
      <c r="S4" s="7"/>
      <c r="T4" s="7"/>
      <c r="U4" s="7"/>
      <c r="V4" s="7"/>
      <c r="W4" s="7"/>
      <c r="X4" s="7"/>
    </row>
    <row r="5" spans="1:24" ht="25.8" x14ac:dyDescent="0.3">
      <c r="R5" s="188"/>
      <c r="S5" s="188"/>
      <c r="T5" s="206" t="s">
        <v>1151</v>
      </c>
    </row>
    <row r="6" spans="1:24" ht="18" x14ac:dyDescent="0.3">
      <c r="A6" s="181" t="s">
        <v>2</v>
      </c>
      <c r="B6" s="183" t="s">
        <v>1079</v>
      </c>
      <c r="C6" s="159" t="s">
        <v>6</v>
      </c>
      <c r="D6" s="4" t="s">
        <v>1098</v>
      </c>
      <c r="E6" s="153" t="s">
        <v>1144</v>
      </c>
      <c r="F6" s="184" t="s">
        <v>1083</v>
      </c>
      <c r="G6" s="182" t="s">
        <v>1081</v>
      </c>
      <c r="H6" s="181" t="s">
        <v>1095</v>
      </c>
      <c r="I6" s="180" t="s">
        <v>1096</v>
      </c>
      <c r="J6" s="154" t="s">
        <v>1080</v>
      </c>
      <c r="K6" s="162" t="s">
        <v>1082</v>
      </c>
      <c r="L6" s="178" t="s">
        <v>1084</v>
      </c>
      <c r="M6" s="179" t="s">
        <v>1097</v>
      </c>
      <c r="N6" s="164" t="s">
        <v>1094</v>
      </c>
      <c r="O6" s="32" t="s">
        <v>1085</v>
      </c>
      <c r="R6" s="188"/>
      <c r="S6" s="188"/>
      <c r="T6" s="188"/>
    </row>
    <row r="7" spans="1:24" ht="18" x14ac:dyDescent="0.3">
      <c r="A7" s="14" t="s">
        <v>1093</v>
      </c>
      <c r="B7" s="158">
        <f>IFERROR(VLOOKUP(A7,Coingecko_API!$B$1:$AD$300,6,FALSE),"")</f>
        <v>0</v>
      </c>
      <c r="C7" s="160">
        <f>IFERROR(SUMIF(Purchases!E:E,A7,Purchases!I:I),0)</f>
        <v>0</v>
      </c>
      <c r="D7" s="15">
        <f>SUM(Table02_PortfolioPro[[#This Row],[Current price]]*Table02_PortfolioPro[[#This Row],[Quantity]])</f>
        <v>0</v>
      </c>
      <c r="E7" s="251">
        <f>IFERROR(VLOOKUP(Table02_PortfolioPro[[#This Row],[Asset]],Coingecko_API!$B$1:$AD$300,4,FALSE),0)</f>
        <v>1</v>
      </c>
      <c r="F7" s="156">
        <f>IFERROR(VLOOKUP(A7,Coingecko_API!$B$1:$AD$300,26,FALSE)/100,0)</f>
        <v>0</v>
      </c>
      <c r="G7" s="33">
        <f>IFERROR(VLOOKUP(A7,Coingecko_API!$B$1:$AD$300,12,FALSE)/100,0)</f>
        <v>0</v>
      </c>
      <c r="H7" s="33">
        <f>IFERROR(VLOOKUP(A7,Coingecko_API!$B$1:$AD$300,28,FALSE)/100,0)</f>
        <v>0</v>
      </c>
      <c r="I7" s="157">
        <f>IFERROR(VLOOKUP(A7,Coingecko_API!$B$1:$AD$300,27,FALSE)/100,0)</f>
        <v>0</v>
      </c>
      <c r="J7" s="34">
        <f>IFERROR(VLOOKUP(A7,Coingecko_API!$B$1:$AD$300,18,FALSE),0)</f>
        <v>0</v>
      </c>
      <c r="K7" s="157">
        <f>IFERROR(VLOOKUP(A7,Coingecko_API!$B$1:$AD$300,19,FALSE)/100,0)</f>
        <v>0</v>
      </c>
      <c r="L7" s="166">
        <f>IFERROR(VLOOKUP(A7,Coingecko_API!$B$1:$AD$300,5,FALSE)/1000000000,0)</f>
        <v>0</v>
      </c>
      <c r="M7" s="167">
        <f>(Table02_PortfolioPro[[#This Row],[Market cap/Billion]]/$M$1)</f>
        <v>0</v>
      </c>
      <c r="N7" s="165">
        <f>IFERROR(VLOOKUP(A7,Coingecko_API!$B$1:$AD$300,16,FALSE)/1000000,0)</f>
        <v>0</v>
      </c>
      <c r="O7" s="132">
        <f>IFERROR(VLOOKUP(A7,Coingecko_API!$B$1:$AD$300,15,FALSE)/1000000,0)</f>
        <v>0</v>
      </c>
      <c r="R7" s="188"/>
      <c r="S7" s="188"/>
      <c r="T7" s="188"/>
    </row>
    <row r="8" spans="1:24" ht="18" x14ac:dyDescent="0.3">
      <c r="A8" s="14" t="s">
        <v>44</v>
      </c>
      <c r="B8" s="158">
        <f>IFERROR(VLOOKUP(A8,Coingecko_API!$B$1:$AD$300,6,FALSE),"")</f>
        <v>1</v>
      </c>
      <c r="C8" s="160">
        <f>IFERROR(SUMIF(Purchases!E:E,A8,Purchases!I:I),0)</f>
        <v>1.6666666666666666E-2</v>
      </c>
      <c r="D8" s="15">
        <f>SUM(Table02_PortfolioPro[[#This Row],[Current price]]*Table02_PortfolioPro[[#This Row],[Quantity]])</f>
        <v>361.35</v>
      </c>
      <c r="E8" s="251">
        <f>IFERROR(VLOOKUP(Table02_PortfolioPro[[#This Row],[Asset]],Coingecko_API!$B$1:$AD$300,4,FALSE),0)</f>
        <v>21681</v>
      </c>
      <c r="F8" s="156">
        <f>IFERROR(VLOOKUP(A8,Coingecko_API!$B$1:$AD$300,26,FALSE)/100,0)</f>
        <v>3.0176435735292443E-2</v>
      </c>
      <c r="G8" s="33">
        <f>IFERROR(VLOOKUP(A8,Coingecko_API!$B$1:$AD$300,12,FALSE)/100,0)</f>
        <v>4.8992300000000003E-2</v>
      </c>
      <c r="H8" s="33">
        <f>IFERROR(VLOOKUP(A8,Coingecko_API!$B$1:$AD$300,28,FALSE)/100,0)</f>
        <v>-0.27980936414116919</v>
      </c>
      <c r="I8" s="157">
        <f>IFERROR(VLOOKUP(A8,Coingecko_API!$B$1:$AD$300,27,FALSE)/100,0)</f>
        <v>-0.35298178189690577</v>
      </c>
      <c r="J8" s="34">
        <f>IFERROR(VLOOKUP(A8,Coingecko_API!$B$1:$AD$300,18,FALSE),0)</f>
        <v>59717</v>
      </c>
      <c r="K8" s="157">
        <f>IFERROR(VLOOKUP(A8,Coingecko_API!$B$1:$AD$300,19,FALSE)/100,0)</f>
        <v>-0.63964180000000004</v>
      </c>
      <c r="L8" s="166">
        <f>IFERROR(VLOOKUP(A8,Coingecko_API!$B$1:$AD$300,5,FALSE)/1000000000,0)</f>
        <v>412.556914275</v>
      </c>
      <c r="M8" s="167">
        <f>(Table02_PortfolioPro[[#This Row],[Market cap/Billion]]/$M$1)</f>
        <v>0.43957159116168593</v>
      </c>
      <c r="N8" s="165">
        <f>IFERROR(VLOOKUP(A8,Coingecko_API!$B$1:$AD$300,16,FALSE)/1000000,0)</f>
        <v>21</v>
      </c>
      <c r="O8" s="132">
        <f>IFERROR(VLOOKUP(A8,Coingecko_API!$B$1:$AD$300,15,FALSE)/1000000,0)</f>
        <v>19.068587000000001</v>
      </c>
      <c r="R8" s="188"/>
      <c r="S8" s="188"/>
      <c r="T8" s="188"/>
    </row>
    <row r="9" spans="1:24" ht="18" x14ac:dyDescent="0.3">
      <c r="A9" s="321" t="s">
        <v>50</v>
      </c>
      <c r="B9" s="322">
        <f>IFERROR(VLOOKUP(A9,Coingecko_API!$B$1:$AD$300,6,FALSE),"")</f>
        <v>2</v>
      </c>
      <c r="C9" s="323">
        <f>IFERROR(SUMIF(Purchases!E:E,A9,Purchases!I:I),0)</f>
        <v>0.22</v>
      </c>
      <c r="D9" s="324">
        <f>SUM(Table02_PortfolioPro[[#This Row],[Current price]]*Table02_PortfolioPro[[#This Row],[Quantity]])</f>
        <v>259.81779999999998</v>
      </c>
      <c r="E9" s="325">
        <f>IFERROR(VLOOKUP(Table02_PortfolioPro[[#This Row],[Asset]],Coingecko_API!$B$1:$AD$300,4,FALSE),0)</f>
        <v>1180.99</v>
      </c>
      <c r="F9" s="326">
        <f>IFERROR(VLOOKUP(A9,Coingecko_API!$B$1:$AD$300,26,FALSE)/100,0)</f>
        <v>2.7027182501190929E-2</v>
      </c>
      <c r="G9" s="327">
        <f>IFERROR(VLOOKUP(A9,Coingecko_API!$B$1:$AD$300,12,FALSE)/100,0)</f>
        <v>4.9880399999999998E-2</v>
      </c>
      <c r="H9" s="327">
        <f>IFERROR(VLOOKUP(A9,Coingecko_API!$B$1:$AD$300,28,FALSE)/100,0)</f>
        <v>-0.42775231986254225</v>
      </c>
      <c r="I9" s="328">
        <f>IFERROR(VLOOKUP(A9,Coingecko_API!$B$1:$AD$300,27,FALSE)/100,0)</f>
        <v>-0.446677776159349</v>
      </c>
      <c r="J9" s="329">
        <f>IFERROR(VLOOKUP(A9,Coingecko_API!$B$1:$AD$300,18,FALSE),0)</f>
        <v>4228.93</v>
      </c>
      <c r="K9" s="328">
        <f>IFERROR(VLOOKUP(A9,Coingecko_API!$B$1:$AD$300,19,FALSE)/100,0)</f>
        <v>-0.72074569999999993</v>
      </c>
      <c r="L9" s="166">
        <f>IFERROR(VLOOKUP(A9,Coingecko_API!$B$1:$AD$300,5,FALSE)/1000000000,0)</f>
        <v>143.16865346099999</v>
      </c>
      <c r="M9" s="330">
        <f>(Table02_PortfolioPro[[#This Row],[Market cap/Billion]]/$M$1)</f>
        <v>0.15254349310063511</v>
      </c>
      <c r="N9" s="165">
        <f>IFERROR(VLOOKUP(A9,Coingecko_API!$B$1:$AD$300,16,FALSE)/1000000,0)</f>
        <v>0</v>
      </c>
      <c r="O9" s="132">
        <f>IFERROR(VLOOKUP(A9,Coingecko_API!$B$1:$AD$300,15,FALSE)/1000000,0)</f>
        <v>121.185806249</v>
      </c>
      <c r="Q9" s="185"/>
      <c r="R9" s="188"/>
      <c r="S9" s="188"/>
      <c r="T9" s="188"/>
    </row>
    <row r="10" spans="1:24" ht="18" x14ac:dyDescent="0.3">
      <c r="A10" s="171"/>
      <c r="B10" s="172"/>
      <c r="C10" s="168"/>
      <c r="D10" s="169"/>
      <c r="E10" s="170"/>
      <c r="F10" s="173"/>
      <c r="G10" s="174"/>
      <c r="H10" s="171"/>
      <c r="I10" s="175"/>
      <c r="J10" s="155"/>
      <c r="K10" s="163"/>
      <c r="L10" s="176"/>
      <c r="M10" s="177"/>
      <c r="N10" s="161"/>
      <c r="O10" s="6"/>
      <c r="R10" s="188"/>
      <c r="S10" s="188"/>
      <c r="T10" s="188"/>
    </row>
    <row r="11" spans="1:24" ht="18" x14ac:dyDescent="0.3">
      <c r="E11" s="107"/>
      <c r="F11" s="107"/>
      <c r="G11" s="107"/>
      <c r="H11" s="107"/>
      <c r="I11" s="107"/>
      <c r="J11" s="107"/>
      <c r="K11" s="107"/>
      <c r="L11" s="107"/>
      <c r="M11" s="186"/>
      <c r="N11" s="107"/>
      <c r="O11" s="188"/>
      <c r="R11" s="188"/>
      <c r="S11" s="188"/>
      <c r="T11" s="188"/>
    </row>
    <row r="12" spans="1:24" x14ac:dyDescent="0.3">
      <c r="R12" s="188"/>
      <c r="S12" s="188"/>
      <c r="T12" s="188"/>
    </row>
    <row r="13" spans="1:24" x14ac:dyDescent="0.3">
      <c r="R13" s="188"/>
      <c r="S13" s="188"/>
      <c r="T13" s="188"/>
    </row>
    <row r="14" spans="1:24" x14ac:dyDescent="0.3">
      <c r="R14" s="188"/>
      <c r="S14" s="188"/>
      <c r="T14" s="188"/>
    </row>
    <row r="15" spans="1:24" x14ac:dyDescent="0.3">
      <c r="R15" s="188"/>
      <c r="S15" s="188"/>
      <c r="T15" s="188"/>
    </row>
    <row r="16" spans="1:24" x14ac:dyDescent="0.3">
      <c r="R16" s="188"/>
      <c r="S16" s="188"/>
      <c r="T16" s="188"/>
    </row>
    <row r="17" spans="13:20" x14ac:dyDescent="0.3">
      <c r="R17" s="188"/>
      <c r="S17" s="188"/>
      <c r="T17" s="188"/>
    </row>
    <row r="18" spans="13:20" x14ac:dyDescent="0.3">
      <c r="R18" s="188"/>
      <c r="S18" s="188"/>
      <c r="T18" s="188"/>
    </row>
    <row r="19" spans="13:20" x14ac:dyDescent="0.3">
      <c r="R19" s="188"/>
      <c r="S19" s="188"/>
      <c r="T19" s="188"/>
    </row>
    <row r="20" spans="13:20" x14ac:dyDescent="0.3">
      <c r="R20" s="188"/>
    </row>
    <row r="21" spans="13:20" x14ac:dyDescent="0.3">
      <c r="R21" s="188"/>
    </row>
    <row r="22" spans="13:20" x14ac:dyDescent="0.3">
      <c r="R22" s="188"/>
    </row>
    <row r="23" spans="13:20" x14ac:dyDescent="0.3">
      <c r="R23" s="188"/>
    </row>
    <row r="24" spans="13:20" x14ac:dyDescent="0.3">
      <c r="R24" s="188"/>
    </row>
    <row r="25" spans="13:20" x14ac:dyDescent="0.3">
      <c r="R25" s="188"/>
    </row>
    <row r="26" spans="13:20" x14ac:dyDescent="0.3">
      <c r="R26" s="188"/>
    </row>
    <row r="27" spans="13:20" x14ac:dyDescent="0.3">
      <c r="R27" s="188"/>
    </row>
    <row r="28" spans="13:20" x14ac:dyDescent="0.3">
      <c r="R28" s="188"/>
    </row>
    <row r="29" spans="13:20" x14ac:dyDescent="0.3">
      <c r="R29" s="188"/>
    </row>
    <row r="30" spans="13:20" x14ac:dyDescent="0.3">
      <c r="R30" s="188"/>
    </row>
    <row r="31" spans="13:20" x14ac:dyDescent="0.3">
      <c r="R31" s="188"/>
    </row>
    <row r="32" spans="13:20" x14ac:dyDescent="0.3">
      <c r="M32" s="187"/>
      <c r="R32" s="188"/>
    </row>
    <row r="33" spans="1:18" ht="25.8" x14ac:dyDescent="0.3">
      <c r="M33" s="187"/>
      <c r="Q33" s="206" t="s">
        <v>1151</v>
      </c>
      <c r="R33" s="188"/>
    </row>
    <row r="34" spans="1:18" x14ac:dyDescent="0.3">
      <c r="M34" s="187"/>
      <c r="R34" s="188"/>
    </row>
    <row r="35" spans="1:18" ht="25.8" x14ac:dyDescent="0.3">
      <c r="A35" s="204"/>
      <c r="B35" s="206" t="s">
        <v>1151</v>
      </c>
      <c r="D35" s="112" t="s">
        <v>1078</v>
      </c>
      <c r="E35" s="112" t="s">
        <v>1086</v>
      </c>
      <c r="G35" s="206" t="s">
        <v>1151</v>
      </c>
      <c r="K35" s="206" t="s">
        <v>1151</v>
      </c>
      <c r="M35" s="187"/>
      <c r="N35" s="206" t="s">
        <v>1151</v>
      </c>
      <c r="R35" s="188"/>
    </row>
    <row r="36" spans="1:18" ht="18" x14ac:dyDescent="0.3">
      <c r="A36" s="205"/>
      <c r="B36" s="203"/>
      <c r="M36" s="187"/>
      <c r="R36" s="188"/>
    </row>
    <row r="37" spans="1:18" ht="18" x14ac:dyDescent="0.3">
      <c r="A37" s="200"/>
      <c r="B37" s="200"/>
      <c r="C37" s="200"/>
      <c r="D37" s="200"/>
      <c r="E37" s="200"/>
      <c r="F37" s="200"/>
      <c r="G37" s="200"/>
      <c r="H37" s="201"/>
      <c r="I37" s="201"/>
      <c r="J37" s="201"/>
      <c r="K37" s="201"/>
      <c r="L37" s="201"/>
      <c r="M37" s="202"/>
      <c r="N37" s="201"/>
      <c r="O37" s="200"/>
      <c r="R37" s="188"/>
    </row>
    <row r="38" spans="1:18" x14ac:dyDescent="0.3">
      <c r="M38" s="187"/>
    </row>
    <row r="39" spans="1:18" x14ac:dyDescent="0.3">
      <c r="M39" s="187"/>
    </row>
    <row r="40" spans="1:18" ht="18" x14ac:dyDescent="0.3">
      <c r="A40" s="278"/>
      <c r="B40" s="278"/>
      <c r="C40" s="278"/>
      <c r="D40" s="278"/>
      <c r="E40" s="278"/>
      <c r="F40" s="278"/>
      <c r="G40" s="113"/>
      <c r="M40" s="187"/>
    </row>
    <row r="41" spans="1:18" ht="18" x14ac:dyDescent="0.35">
      <c r="A41" s="109" t="s">
        <v>2</v>
      </c>
      <c r="B41" s="292" t="s">
        <v>1098</v>
      </c>
      <c r="C41" s="291" t="s">
        <v>1129</v>
      </c>
      <c r="D41" s="290" t="s">
        <v>1100</v>
      </c>
      <c r="E41" s="109" t="s">
        <v>1101</v>
      </c>
      <c r="F41" s="109" t="s">
        <v>1127</v>
      </c>
      <c r="G41" s="114"/>
      <c r="M41" s="187"/>
    </row>
    <row r="42" spans="1:18" ht="18" x14ac:dyDescent="0.35">
      <c r="A42" s="110" t="s">
        <v>44</v>
      </c>
      <c r="B42" s="259">
        <f>IFERROR(SUMIF(Table02_PortfolioPro[[#Data],[#Totals],[Asset]],Table02_PortfolioPro__310[[#This Row],[Asset]],Table02_PortfolioPro[[#Data],[#Totals],[Current Balance]]),0)</f>
        <v>361.35</v>
      </c>
      <c r="C42" s="309">
        <f>IFERROR(SUMIF(Table1[[#All],[Asset]],Table02_PortfolioPro__310[[#This Row],[Asset]],Table1[[#All],[Fee]]),0)</f>
        <v>0</v>
      </c>
      <c r="D42" s="310">
        <f>IFERROR(SUM(Table02_PortfolioPro__310[[#This Row],[Current Balance]]/((1-ABS(Table02_PortfolioPro__310[[#This Row],[ROI]]))*100)*100)+Table02_PortfolioPro__310[[#This Row],[Fees]],0)</f>
        <v>500.00000000000011</v>
      </c>
      <c r="E42" s="269">
        <f>IFERROR(SUM(Table02_PortfolioPro__310[[#This Row],[Current Balance]]-Table02_PortfolioPro__310[[#This Row],[Investment]]),0)</f>
        <v>-138.65000000000009</v>
      </c>
      <c r="F42" s="270">
        <f>IFERROR(SUMIF(Table1[[#All],[Asset]],Table02_PortfolioPro__310[[#This Row],[Asset]],Table1[[#All],[% change]])/COUNTIFS(Table1[[#All],[Asset]],Table02_PortfolioPro__310[[#This Row],[Asset]],Table1[[#All],[% change]],"&lt;&gt;"),0)</f>
        <v>-0.27729999999999999</v>
      </c>
      <c r="G42" s="114"/>
      <c r="H42" s="114"/>
      <c r="M42" s="187"/>
    </row>
    <row r="43" spans="1:18" ht="18" x14ac:dyDescent="0.35">
      <c r="A43" s="305" t="s">
        <v>50</v>
      </c>
      <c r="B43" s="306">
        <f>IFERROR(SUMIF(Table02_PortfolioPro[[#Data],[#Totals],[Asset]],Table02_PortfolioPro__310[[#This Row],[Asset]],Table02_PortfolioPro[[#Data],[#Totals],[Current Balance]]),0)</f>
        <v>259.81779999999998</v>
      </c>
      <c r="C43" s="313">
        <f>IFERROR(SUMIF(Table1[[#All],[Asset]],Table02_PortfolioPro__310[[#This Row],[Asset]],Table1[[#All],[Fee]]),0)</f>
        <v>0</v>
      </c>
      <c r="D43" s="314">
        <f>IFERROR(SUM(Table02_PortfolioPro__310[[#This Row],[Current Balance]]/((1-ABS(Table02_PortfolioPro__310[[#This Row],[ROI]]))*100)*100)+Table02_PortfolioPro__310[[#This Row],[Fees]],0)</f>
        <v>439.99999999999994</v>
      </c>
      <c r="E43" s="307">
        <f>IFERROR(SUM(Table02_PortfolioPro__310[[#This Row],[Current Balance]]-Table02_PortfolioPro__310[[#This Row],[Investment]]),0)</f>
        <v>-180.18219999999997</v>
      </c>
      <c r="F43" s="308">
        <f>IFERROR(SUMIF(Table1[[#All],[Asset]],Table02_PortfolioPro__310[[#This Row],[Asset]],Table1[[#All],[% change]])/COUNTIFS(Table1[[#All],[Asset]],Table02_PortfolioPro__310[[#This Row],[Asset]],Table1[[#All],[% change]],"&lt;&gt;"),0)</f>
        <v>-0.40950500000000001</v>
      </c>
      <c r="G43" s="114"/>
      <c r="H43" s="114"/>
      <c r="M43" s="187"/>
    </row>
    <row r="44" spans="1:18" ht="18" x14ac:dyDescent="0.35">
      <c r="A44" s="305" t="s">
        <v>1093</v>
      </c>
      <c r="B44" s="306">
        <f>IFERROR(SUMIF(Table02_PortfolioPro[[#Data],[#Totals],[Asset]],Table02_PortfolioPro__310[[#This Row],[Asset]],Table02_PortfolioPro[[#Data],[#Totals],[Current Balance]]),0)</f>
        <v>0</v>
      </c>
      <c r="C44" s="313">
        <f>IFERROR(SUMIF(Table1[[#All],[Asset]],Table02_PortfolioPro__310[[#This Row],[Asset]],Table1[[#All],[Fee]]),0)</f>
        <v>60</v>
      </c>
      <c r="D44" s="314">
        <f>IFERROR(SUM(Table02_PortfolioPro__310[[#This Row],[Current Balance]]/((1-ABS(Table02_PortfolioPro__310[[#This Row],[ROI]]))*100)*100)+Table02_PortfolioPro__310[[#This Row],[Fees]],0)</f>
        <v>60</v>
      </c>
      <c r="E44" s="307">
        <f>IFERROR(SUM(Table02_PortfolioPro__310[[#This Row],[Current Balance]]-Table02_PortfolioPro__310[[#This Row],[Investment]]),0)</f>
        <v>-60</v>
      </c>
      <c r="F44" s="308">
        <f>IFERROR(SUMIF(Table1[[#All],[Asset]],Table02_PortfolioPro__310[[#This Row],[Asset]],Table1[[#All],[% change]])/COUNTIFS(Table1[[#All],[Asset]],Table02_PortfolioPro__310[[#This Row],[Asset]],Table1[[#All],[% change]],"&lt;&gt;"),0)</f>
        <v>0</v>
      </c>
      <c r="G44" s="114"/>
      <c r="H44" s="114"/>
      <c r="M44" s="187"/>
    </row>
    <row r="45" spans="1:18" ht="21" x14ac:dyDescent="0.35">
      <c r="A45" s="257" t="s">
        <v>1165</v>
      </c>
      <c r="B45" s="152">
        <f>SUBTOTAL(109,Table02_PortfolioPro__310[Current Balance])</f>
        <v>621.16779999999994</v>
      </c>
      <c r="C45" s="248">
        <f>SUBTOTAL(109,Table02_PortfolioPro__310[Fees])</f>
        <v>60</v>
      </c>
      <c r="D45" s="293">
        <f>SUBTOTAL(109,Table02_PortfolioPro__310[Investment])</f>
        <v>1000</v>
      </c>
      <c r="E45" s="233">
        <f>SUBTOTAL(109,Table02_PortfolioPro__310[Profit])</f>
        <v>-378.83220000000006</v>
      </c>
      <c r="F45" s="297">
        <f>IFERROR((Table02_PortfolioPro__310[[#Totals],[Current Balance]]-Table02_PortfolioPro__310[[#Totals],[Investment]])/Table02_PortfolioPro__310[[#Totals],[Investment]],"")</f>
        <v>-0.37883220000000006</v>
      </c>
      <c r="G45" s="114"/>
      <c r="H45" s="114"/>
      <c r="M45" s="187"/>
    </row>
    <row r="46" spans="1:18" ht="21" x14ac:dyDescent="0.35">
      <c r="A46" s="260"/>
      <c r="B46" s="261"/>
      <c r="C46" s="262"/>
      <c r="D46" s="263"/>
      <c r="E46" s="264"/>
      <c r="F46" s="265"/>
      <c r="G46" s="114"/>
      <c r="H46" s="114"/>
      <c r="M46" s="187"/>
    </row>
    <row r="47" spans="1:18" ht="18" x14ac:dyDescent="0.35">
      <c r="A47" s="74"/>
      <c r="B47" s="74"/>
      <c r="C47" s="205"/>
      <c r="D47" s="203"/>
      <c r="E47" s="74"/>
      <c r="F47" s="74"/>
      <c r="G47" s="114"/>
      <c r="H47" s="114"/>
      <c r="M47" s="187"/>
    </row>
    <row r="48" spans="1:18" ht="18" x14ac:dyDescent="0.35">
      <c r="A48" s="74"/>
      <c r="B48" s="74"/>
      <c r="C48" s="74"/>
      <c r="D48" s="74"/>
      <c r="E48" s="74"/>
      <c r="F48" s="74"/>
      <c r="G48" s="114"/>
      <c r="H48" s="114"/>
      <c r="M48" s="303"/>
      <c r="N48" s="304"/>
    </row>
    <row r="49" spans="1:15" ht="18" x14ac:dyDescent="0.35">
      <c r="A49" s="74"/>
      <c r="B49" s="74"/>
      <c r="C49" s="74"/>
      <c r="D49" s="74"/>
      <c r="E49" s="74"/>
      <c r="F49" s="74"/>
      <c r="G49" s="114"/>
      <c r="H49" s="114"/>
      <c r="M49" s="187"/>
    </row>
    <row r="50" spans="1:15" ht="18" x14ac:dyDescent="0.35">
      <c r="A50" s="109"/>
      <c r="B50" s="109"/>
      <c r="C50" s="109"/>
      <c r="D50" s="109"/>
      <c r="E50" s="278"/>
      <c r="F50" s="278"/>
      <c r="G50" s="114"/>
      <c r="H50" s="114"/>
      <c r="M50" s="187"/>
    </row>
    <row r="51" spans="1:15" ht="18" x14ac:dyDescent="0.35">
      <c r="A51" s="258"/>
      <c r="B51" s="279"/>
      <c r="C51" s="280"/>
      <c r="D51" s="279"/>
      <c r="E51" s="281"/>
      <c r="F51" s="282"/>
      <c r="G51" s="114"/>
      <c r="H51" s="114"/>
      <c r="M51" s="187"/>
    </row>
    <row r="52" spans="1:15" ht="21" x14ac:dyDescent="0.35">
      <c r="A52" s="258"/>
      <c r="B52" s="279"/>
      <c r="C52" s="280"/>
      <c r="D52" s="279"/>
      <c r="E52" s="281"/>
      <c r="F52" s="282"/>
      <c r="G52" s="115"/>
      <c r="H52" s="115"/>
      <c r="M52" s="187"/>
    </row>
    <row r="53" spans="1:15" ht="21" x14ac:dyDescent="0.35">
      <c r="A53" s="258"/>
      <c r="B53" s="279"/>
      <c r="C53" s="280"/>
      <c r="D53" s="279"/>
      <c r="E53" s="281"/>
      <c r="F53" s="282"/>
      <c r="G53" s="245"/>
      <c r="H53" s="115"/>
      <c r="M53" s="187"/>
    </row>
    <row r="54" spans="1:15" ht="18" x14ac:dyDescent="0.35">
      <c r="A54" s="258"/>
      <c r="B54" s="279"/>
      <c r="C54" s="280"/>
      <c r="D54" s="279"/>
      <c r="E54" s="281"/>
      <c r="F54" s="282"/>
      <c r="G54" s="74"/>
      <c r="M54" s="187"/>
      <c r="N54" s="188"/>
      <c r="O54" s="188"/>
    </row>
    <row r="55" spans="1:15" ht="18" x14ac:dyDescent="0.35">
      <c r="A55" s="258"/>
      <c r="B55" s="279"/>
      <c r="C55" s="280"/>
      <c r="D55" s="279"/>
      <c r="E55" s="281"/>
      <c r="F55" s="282"/>
      <c r="G55" s="74"/>
      <c r="M55" s="187"/>
    </row>
    <row r="56" spans="1:15" ht="18" x14ac:dyDescent="0.35">
      <c r="A56" s="258"/>
      <c r="B56" s="279"/>
      <c r="C56" s="280"/>
      <c r="D56" s="279"/>
      <c r="E56" s="281"/>
      <c r="F56" s="282"/>
      <c r="G56" s="74"/>
      <c r="M56" s="187"/>
    </row>
    <row r="57" spans="1:15" ht="18" x14ac:dyDescent="0.35">
      <c r="A57" s="258"/>
      <c r="B57" s="279"/>
      <c r="C57" s="280"/>
      <c r="D57" s="279"/>
      <c r="E57" s="281"/>
      <c r="F57" s="282"/>
      <c r="G57" s="74"/>
      <c r="M57" s="187"/>
    </row>
    <row r="58" spans="1:15" ht="25.8" x14ac:dyDescent="0.35">
      <c r="A58" s="258"/>
      <c r="B58" s="279"/>
      <c r="C58" s="280"/>
      <c r="D58" s="279"/>
      <c r="E58" s="281"/>
      <c r="F58" s="282"/>
      <c r="G58" s="74"/>
      <c r="I58" s="206" t="s">
        <v>1151</v>
      </c>
      <c r="N58" s="206" t="s">
        <v>1151</v>
      </c>
    </row>
    <row r="59" spans="1:15" ht="18" x14ac:dyDescent="0.35">
      <c r="A59" s="258"/>
      <c r="B59" s="279"/>
      <c r="C59" s="280"/>
      <c r="D59" s="279"/>
      <c r="E59" s="281"/>
      <c r="F59" s="282"/>
      <c r="G59" s="74"/>
    </row>
    <row r="60" spans="1:15" ht="18" x14ac:dyDescent="0.35">
      <c r="A60" s="258"/>
      <c r="B60" s="279"/>
      <c r="C60" s="280"/>
      <c r="D60" s="279"/>
      <c r="E60" s="281"/>
      <c r="F60" s="282"/>
      <c r="G60" s="74"/>
    </row>
    <row r="61" spans="1:15" ht="18" x14ac:dyDescent="0.35">
      <c r="A61" s="258"/>
      <c r="B61" s="279"/>
      <c r="C61" s="280"/>
      <c r="D61" s="279"/>
      <c r="E61" s="281"/>
      <c r="F61" s="282"/>
      <c r="G61" s="74"/>
    </row>
    <row r="62" spans="1:15" ht="21" x14ac:dyDescent="0.35">
      <c r="A62" s="283"/>
      <c r="B62" s="261"/>
      <c r="C62" s="262"/>
      <c r="D62" s="263"/>
      <c r="E62" s="264"/>
      <c r="F62" s="265"/>
      <c r="G62" s="74"/>
    </row>
    <row r="63" spans="1:15" x14ac:dyDescent="0.3">
      <c r="G63" s="74"/>
    </row>
    <row r="64" spans="1:15" ht="21" x14ac:dyDescent="0.3">
      <c r="A64" s="234"/>
      <c r="B64" s="246"/>
      <c r="C64" s="266"/>
      <c r="D64" s="266"/>
      <c r="E64" s="266"/>
      <c r="F64" s="266"/>
      <c r="G64" s="74"/>
    </row>
    <row r="65" spans="1:16" x14ac:dyDescent="0.3">
      <c r="A65" s="74"/>
      <c r="B65" s="247"/>
      <c r="C65" s="74"/>
      <c r="F65" s="74"/>
      <c r="G65" s="74"/>
    </row>
    <row r="66" spans="1:16" ht="18" x14ac:dyDescent="0.35">
      <c r="A66" s="74"/>
      <c r="B66" s="74"/>
      <c r="C66" s="74"/>
      <c r="F66" s="74"/>
      <c r="G66" s="74"/>
      <c r="K66" s="284"/>
      <c r="L66" s="285"/>
      <c r="M66" s="286"/>
      <c r="N66" s="285"/>
      <c r="O66" s="285"/>
    </row>
    <row r="67" spans="1:16" x14ac:dyDescent="0.3">
      <c r="A67" s="74"/>
      <c r="B67" s="74"/>
      <c r="C67" s="74"/>
      <c r="D67" s="74"/>
      <c r="E67" s="74"/>
      <c r="F67" s="74"/>
      <c r="G67" s="74"/>
    </row>
    <row r="68" spans="1:16" ht="16.2" customHeight="1" x14ac:dyDescent="0.3">
      <c r="A68" s="74"/>
      <c r="B68" s="74"/>
      <c r="C68" s="74"/>
      <c r="D68" s="74"/>
      <c r="E68" s="74"/>
      <c r="F68" s="74"/>
      <c r="G68" s="74"/>
    </row>
    <row r="69" spans="1:16" x14ac:dyDescent="0.3">
      <c r="G69" s="74"/>
    </row>
    <row r="70" spans="1:16" ht="18" x14ac:dyDescent="0.3">
      <c r="G70" s="266"/>
    </row>
    <row r="71" spans="1:16" x14ac:dyDescent="0.3">
      <c r="G71" s="74"/>
    </row>
    <row r="72" spans="1:16" x14ac:dyDescent="0.3">
      <c r="G72" s="74"/>
    </row>
    <row r="73" spans="1:16" x14ac:dyDescent="0.3">
      <c r="G73" s="74"/>
    </row>
    <row r="74" spans="1:16" ht="18" x14ac:dyDescent="0.3">
      <c r="G74" s="267"/>
      <c r="P74" s="287"/>
    </row>
    <row r="75" spans="1:16" ht="18" x14ac:dyDescent="0.3">
      <c r="G75" s="268"/>
    </row>
    <row r="76" spans="1:16" ht="18" x14ac:dyDescent="0.3">
      <c r="G76" s="267"/>
    </row>
    <row r="77" spans="1:16" ht="18" x14ac:dyDescent="0.3">
      <c r="G77" s="268"/>
    </row>
    <row r="78" spans="1:16" ht="18" x14ac:dyDescent="0.3">
      <c r="G78" s="267"/>
    </row>
    <row r="79" spans="1:16" ht="18" x14ac:dyDescent="0.3">
      <c r="G79" s="268"/>
    </row>
    <row r="80" spans="1:16" ht="18" x14ac:dyDescent="0.3">
      <c r="G80" s="267"/>
    </row>
    <row r="81" spans="7:7" ht="18" x14ac:dyDescent="0.3">
      <c r="G81" s="268"/>
    </row>
    <row r="82" spans="7:7" ht="18" x14ac:dyDescent="0.3">
      <c r="G82" s="267"/>
    </row>
    <row r="83" spans="7:7" ht="18" x14ac:dyDescent="0.3">
      <c r="G83" s="268"/>
    </row>
    <row r="84" spans="7:7" ht="18" x14ac:dyDescent="0.3">
      <c r="G84" s="267"/>
    </row>
    <row r="116" spans="13:16" x14ac:dyDescent="0.3">
      <c r="M116" s="187"/>
      <c r="N116" s="188"/>
      <c r="O116" s="188"/>
    </row>
    <row r="117" spans="13:16" x14ac:dyDescent="0.3">
      <c r="M117" s="187"/>
      <c r="N117" s="188"/>
      <c r="O117" s="188"/>
    </row>
    <row r="118" spans="13:16" x14ac:dyDescent="0.3">
      <c r="M118" s="187"/>
      <c r="N118" s="188"/>
      <c r="O118" s="188"/>
    </row>
    <row r="119" spans="13:16" x14ac:dyDescent="0.3">
      <c r="M119" s="187"/>
      <c r="N119" s="188"/>
      <c r="O119" s="188"/>
    </row>
    <row r="120" spans="13:16" x14ac:dyDescent="0.3">
      <c r="M120" s="187"/>
      <c r="N120" s="188"/>
      <c r="O120" s="188"/>
    </row>
    <row r="121" spans="13:16" x14ac:dyDescent="0.3">
      <c r="M121" s="187"/>
      <c r="N121" s="188"/>
      <c r="O121" s="188"/>
    </row>
    <row r="122" spans="13:16" x14ac:dyDescent="0.3">
      <c r="M122" s="187"/>
      <c r="N122" s="188"/>
      <c r="O122" s="188"/>
    </row>
    <row r="123" spans="13:16" x14ac:dyDescent="0.3">
      <c r="M123" s="187"/>
      <c r="N123" s="188"/>
      <c r="O123" s="188"/>
    </row>
    <row r="124" spans="13:16" x14ac:dyDescent="0.3">
      <c r="M124" s="187"/>
      <c r="N124" s="188"/>
      <c r="O124" s="188"/>
      <c r="P124" s="188"/>
    </row>
    <row r="125" spans="13:16" x14ac:dyDescent="0.3">
      <c r="M125" s="187"/>
      <c r="N125" s="188"/>
      <c r="O125" s="188"/>
      <c r="P125" s="188"/>
    </row>
    <row r="126" spans="13:16" x14ac:dyDescent="0.3">
      <c r="M126" s="187"/>
      <c r="N126" s="188"/>
      <c r="O126" s="188"/>
      <c r="P126" s="188"/>
    </row>
    <row r="127" spans="13:16" x14ac:dyDescent="0.3">
      <c r="M127" s="187"/>
      <c r="N127" s="188"/>
      <c r="O127" s="188"/>
      <c r="P127" s="188"/>
    </row>
    <row r="128" spans="13:16" x14ac:dyDescent="0.3">
      <c r="M128" s="187"/>
      <c r="N128" s="188"/>
      <c r="O128" s="188"/>
      <c r="P128" s="188"/>
    </row>
    <row r="129" spans="13:16" x14ac:dyDescent="0.3">
      <c r="M129" s="187"/>
      <c r="N129" s="188"/>
      <c r="O129" s="188"/>
      <c r="P129" s="188"/>
    </row>
    <row r="130" spans="13:16" x14ac:dyDescent="0.3">
      <c r="M130" s="187"/>
      <c r="N130" s="188"/>
      <c r="O130" s="188"/>
      <c r="P130" s="188"/>
    </row>
    <row r="131" spans="13:16" x14ac:dyDescent="0.3">
      <c r="M131" s="187"/>
      <c r="N131" s="188"/>
      <c r="O131" s="188"/>
      <c r="P131" s="188"/>
    </row>
    <row r="132" spans="13:16" x14ac:dyDescent="0.3">
      <c r="M132" s="187"/>
      <c r="N132" s="188"/>
      <c r="O132" s="188"/>
      <c r="P132" s="188"/>
    </row>
    <row r="133" spans="13:16" x14ac:dyDescent="0.3">
      <c r="M133" s="187"/>
      <c r="N133" s="188"/>
      <c r="O133" s="188"/>
      <c r="P133" s="188"/>
    </row>
    <row r="134" spans="13:16" x14ac:dyDescent="0.3">
      <c r="M134" s="187"/>
      <c r="N134" s="188"/>
      <c r="O134" s="188"/>
      <c r="P134" s="188"/>
    </row>
    <row r="135" spans="13:16" x14ac:dyDescent="0.3">
      <c r="M135" s="187"/>
      <c r="N135" s="188"/>
      <c r="O135" s="188"/>
      <c r="P135" s="188"/>
    </row>
    <row r="136" spans="13:16" x14ac:dyDescent="0.3">
      <c r="M136" s="187"/>
      <c r="N136" s="188"/>
      <c r="O136" s="188"/>
      <c r="P136" s="188"/>
    </row>
    <row r="137" spans="13:16" x14ac:dyDescent="0.3">
      <c r="M137" s="187"/>
      <c r="N137" s="188"/>
      <c r="O137" s="188"/>
      <c r="P137" s="188"/>
    </row>
    <row r="138" spans="13:16" x14ac:dyDescent="0.3">
      <c r="M138" s="187"/>
      <c r="N138" s="188"/>
      <c r="O138" s="188"/>
      <c r="P138" s="188"/>
    </row>
    <row r="139" spans="13:16" x14ac:dyDescent="0.3">
      <c r="M139" s="187"/>
      <c r="N139" s="188"/>
      <c r="O139" s="188"/>
      <c r="P139" s="188"/>
    </row>
    <row r="140" spans="13:16" x14ac:dyDescent="0.3">
      <c r="M140" s="187"/>
      <c r="N140" s="188"/>
      <c r="O140" s="188"/>
      <c r="P140" s="188"/>
    </row>
    <row r="141" spans="13:16" x14ac:dyDescent="0.3">
      <c r="M141" s="187"/>
      <c r="N141" s="188"/>
      <c r="O141" s="188"/>
      <c r="P141" s="188"/>
    </row>
    <row r="142" spans="13:16" x14ac:dyDescent="0.3">
      <c r="M142" s="187"/>
      <c r="N142" s="188"/>
      <c r="O142" s="188"/>
      <c r="P142" s="188"/>
    </row>
    <row r="143" spans="13:16" x14ac:dyDescent="0.3">
      <c r="M143" s="187"/>
      <c r="N143" s="188"/>
      <c r="O143" s="188"/>
      <c r="P143" s="188"/>
    </row>
    <row r="144" spans="13:16" x14ac:dyDescent="0.3">
      <c r="M144" s="187"/>
      <c r="N144" s="188"/>
      <c r="O144" s="188"/>
      <c r="P144" s="188"/>
    </row>
    <row r="145" spans="13:16" x14ac:dyDescent="0.3">
      <c r="M145" s="187"/>
      <c r="N145" s="188"/>
      <c r="O145" s="188"/>
      <c r="P145" s="188"/>
    </row>
    <row r="146" spans="13:16" x14ac:dyDescent="0.3">
      <c r="M146" s="187"/>
      <c r="N146" s="188"/>
      <c r="O146" s="188"/>
      <c r="P146" s="188"/>
    </row>
    <row r="147" spans="13:16" x14ac:dyDescent="0.3">
      <c r="M147" s="187"/>
      <c r="N147" s="188"/>
      <c r="O147" s="188"/>
      <c r="P147" s="188"/>
    </row>
    <row r="148" spans="13:16" x14ac:dyDescent="0.3">
      <c r="M148" s="187"/>
      <c r="N148" s="188"/>
      <c r="O148" s="188"/>
      <c r="P148" s="188"/>
    </row>
    <row r="149" spans="13:16" x14ac:dyDescent="0.3">
      <c r="M149" s="187"/>
      <c r="N149" s="188"/>
      <c r="O149" s="188"/>
      <c r="P149" s="188"/>
    </row>
    <row r="150" spans="13:16" x14ac:dyDescent="0.3">
      <c r="M150" s="187"/>
      <c r="N150" s="188"/>
      <c r="O150" s="188"/>
      <c r="P150" s="188"/>
    </row>
    <row r="151" spans="13:16" x14ac:dyDescent="0.3">
      <c r="M151" s="187"/>
      <c r="N151" s="188"/>
      <c r="O151" s="188"/>
      <c r="P151" s="188"/>
    </row>
    <row r="152" spans="13:16" x14ac:dyDescent="0.3">
      <c r="M152" s="187"/>
      <c r="N152" s="188"/>
      <c r="O152" s="188"/>
      <c r="P152" s="188"/>
    </row>
    <row r="153" spans="13:16" x14ac:dyDescent="0.3">
      <c r="M153" s="187"/>
      <c r="N153" s="188"/>
      <c r="O153" s="188"/>
      <c r="P153" s="188"/>
    </row>
    <row r="154" spans="13:16" x14ac:dyDescent="0.3">
      <c r="M154" s="187"/>
      <c r="N154" s="188"/>
      <c r="O154" s="188"/>
      <c r="P154" s="188"/>
    </row>
    <row r="155" spans="13:16" x14ac:dyDescent="0.3">
      <c r="M155" s="187"/>
      <c r="N155" s="188"/>
      <c r="O155" s="188"/>
      <c r="P155" s="188"/>
    </row>
    <row r="156" spans="13:16" x14ac:dyDescent="0.3">
      <c r="M156" s="187"/>
      <c r="N156" s="188"/>
      <c r="O156" s="188"/>
      <c r="P156" s="188"/>
    </row>
    <row r="157" spans="13:16" x14ac:dyDescent="0.3">
      <c r="M157" s="187"/>
      <c r="N157" s="188"/>
      <c r="O157" s="188"/>
      <c r="P157" s="188"/>
    </row>
    <row r="158" spans="13:16" x14ac:dyDescent="0.3">
      <c r="M158" s="187"/>
      <c r="N158" s="188"/>
      <c r="O158" s="188"/>
      <c r="P158" s="188"/>
    </row>
    <row r="159" spans="13:16" x14ac:dyDescent="0.3">
      <c r="M159" s="187"/>
      <c r="N159" s="188"/>
      <c r="O159" s="188"/>
      <c r="P159" s="188"/>
    </row>
    <row r="160" spans="13:16" x14ac:dyDescent="0.3">
      <c r="M160" s="187"/>
      <c r="N160" s="188"/>
      <c r="O160" s="188"/>
      <c r="P160" s="188"/>
    </row>
    <row r="161" spans="13:16" x14ac:dyDescent="0.3">
      <c r="M161" s="187"/>
      <c r="N161" s="188"/>
      <c r="O161" s="188"/>
      <c r="P161" s="188"/>
    </row>
    <row r="162" spans="13:16" x14ac:dyDescent="0.3">
      <c r="M162" s="187"/>
      <c r="N162" s="188"/>
      <c r="O162" s="188"/>
      <c r="P162" s="188"/>
    </row>
    <row r="163" spans="13:16" x14ac:dyDescent="0.3">
      <c r="M163" s="187"/>
      <c r="N163" s="188"/>
      <c r="O163" s="188"/>
      <c r="P163" s="188"/>
    </row>
    <row r="164" spans="13:16" x14ac:dyDescent="0.3">
      <c r="M164" s="187"/>
      <c r="N164" s="188"/>
      <c r="O164" s="188"/>
      <c r="P164" s="188"/>
    </row>
    <row r="165" spans="13:16" x14ac:dyDescent="0.3">
      <c r="M165" s="187"/>
      <c r="N165" s="188"/>
      <c r="O165" s="188"/>
      <c r="P165" s="188"/>
    </row>
    <row r="166" spans="13:16" x14ac:dyDescent="0.3">
      <c r="M166" s="187"/>
      <c r="N166" s="188"/>
      <c r="O166" s="188"/>
      <c r="P166" s="188"/>
    </row>
    <row r="167" spans="13:16" x14ac:dyDescent="0.3">
      <c r="M167" s="187"/>
      <c r="N167" s="188"/>
      <c r="O167" s="188"/>
      <c r="P167" s="188"/>
    </row>
    <row r="168" spans="13:16" x14ac:dyDescent="0.3">
      <c r="M168" s="187"/>
      <c r="N168" s="188"/>
      <c r="O168" s="188"/>
      <c r="P168" s="188"/>
    </row>
    <row r="169" spans="13:16" x14ac:dyDescent="0.3">
      <c r="M169" s="187"/>
      <c r="N169" s="188"/>
      <c r="O169" s="188"/>
      <c r="P169" s="188"/>
    </row>
    <row r="170" spans="13:16" x14ac:dyDescent="0.3">
      <c r="M170" s="187"/>
      <c r="N170" s="188"/>
      <c r="O170" s="188"/>
      <c r="P170" s="188"/>
    </row>
    <row r="171" spans="13:16" x14ac:dyDescent="0.3">
      <c r="M171" s="187"/>
      <c r="N171" s="188"/>
      <c r="O171" s="188"/>
      <c r="P171" s="188"/>
    </row>
    <row r="172" spans="13:16" x14ac:dyDescent="0.3">
      <c r="M172" s="187"/>
      <c r="N172" s="188"/>
      <c r="O172" s="188"/>
      <c r="P172" s="188"/>
    </row>
    <row r="173" spans="13:16" x14ac:dyDescent="0.3">
      <c r="M173" s="187"/>
      <c r="P173" s="188"/>
    </row>
    <row r="174" spans="13:16" x14ac:dyDescent="0.3">
      <c r="M174" s="187"/>
      <c r="P174" s="188"/>
    </row>
    <row r="175" spans="13:16" x14ac:dyDescent="0.3">
      <c r="M175" s="187"/>
      <c r="P175" s="188"/>
    </row>
    <row r="176" spans="13:16" x14ac:dyDescent="0.3">
      <c r="M176" s="187"/>
      <c r="P176" s="188"/>
    </row>
    <row r="177" spans="13:16" x14ac:dyDescent="0.3">
      <c r="M177" s="187"/>
      <c r="P177" s="188"/>
    </row>
    <row r="178" spans="13:16" x14ac:dyDescent="0.3">
      <c r="M178" s="187"/>
      <c r="P178" s="188"/>
    </row>
    <row r="179" spans="13:16" x14ac:dyDescent="0.3">
      <c r="M179" s="187"/>
      <c r="P179" s="188"/>
    </row>
    <row r="180" spans="13:16" x14ac:dyDescent="0.3">
      <c r="M180" s="187"/>
      <c r="P180" s="188"/>
    </row>
    <row r="181" spans="13:16" x14ac:dyDescent="0.3">
      <c r="M181" s="187"/>
    </row>
    <row r="182" spans="13:16" x14ac:dyDescent="0.3">
      <c r="M182" s="187"/>
    </row>
    <row r="183" spans="13:16" x14ac:dyDescent="0.3">
      <c r="M183" s="187"/>
    </row>
    <row r="184" spans="13:16" x14ac:dyDescent="0.3">
      <c r="M184" s="187"/>
    </row>
    <row r="185" spans="13:16" x14ac:dyDescent="0.3">
      <c r="M185" s="187"/>
    </row>
    <row r="186" spans="13:16" x14ac:dyDescent="0.3">
      <c r="M186" s="187"/>
    </row>
    <row r="187" spans="13:16" x14ac:dyDescent="0.3">
      <c r="M187" s="187"/>
    </row>
    <row r="188" spans="13:16" x14ac:dyDescent="0.3">
      <c r="M188" s="187"/>
    </row>
    <row r="189" spans="13:16" x14ac:dyDescent="0.3">
      <c r="M189" s="187"/>
    </row>
    <row r="190" spans="13:16" x14ac:dyDescent="0.3">
      <c r="M190" s="187"/>
    </row>
  </sheetData>
  <sheetProtection formatColumns="0" formatRows="0" sort="0"/>
  <phoneticPr fontId="6" type="noConversion"/>
  <conditionalFormatting sqref="P16">
    <cfRule type="iconSet" priority="82">
      <iconSet iconSet="3Arrows">
        <cfvo type="percent" val="0"/>
        <cfvo type="percent" val="33"/>
        <cfvo type="percent" val="67"/>
      </iconSet>
    </cfRule>
  </conditionalFormatting>
  <conditionalFormatting sqref="F7:I9 K7:K9">
    <cfRule type="cellIs" dxfId="225" priority="76" operator="lessThan">
      <formula>0</formula>
    </cfRule>
    <cfRule type="cellIs" dxfId="224" priority="77" operator="greaterThan">
      <formula>0</formula>
    </cfRule>
  </conditionalFormatting>
  <conditionalFormatting sqref="H52:H53">
    <cfRule type="cellIs" dxfId="223" priority="58" operator="lessThan">
      <formula>0</formula>
    </cfRule>
    <cfRule type="cellIs" dxfId="222" priority="59" operator="greaterThan">
      <formula>0</formula>
    </cfRule>
  </conditionalFormatting>
  <conditionalFormatting sqref="H42:H51">
    <cfRule type="cellIs" dxfId="221" priority="60" operator="greaterThan">
      <formula>0</formula>
    </cfRule>
    <cfRule type="cellIs" dxfId="220" priority="61" operator="lessThan">
      <formula>0</formula>
    </cfRule>
  </conditionalFormatting>
  <conditionalFormatting sqref="B64">
    <cfRule type="cellIs" dxfId="219" priority="1228" operator="greaterThan">
      <formula>$D$64</formula>
    </cfRule>
    <cfRule type="cellIs" dxfId="218" priority="1229" operator="lessThan">
      <formula>$D$64</formula>
    </cfRule>
  </conditionalFormatting>
  <conditionalFormatting sqref="B46">
    <cfRule type="cellIs" dxfId="217" priority="45" operator="greaterThan">
      <formula>$D$46</formula>
    </cfRule>
    <cfRule type="cellIs" dxfId="216" priority="46" operator="lessThan">
      <formula>$D$46</formula>
    </cfRule>
  </conditionalFormatting>
  <conditionalFormatting sqref="E46:F46">
    <cfRule type="cellIs" dxfId="215" priority="39" operator="lessThan">
      <formula>0</formula>
    </cfRule>
    <cfRule type="cellIs" dxfId="214" priority="40" operator="greaterThan">
      <formula>0</formula>
    </cfRule>
  </conditionalFormatting>
  <conditionalFormatting sqref="E62:F62">
    <cfRule type="cellIs" dxfId="213" priority="13" operator="lessThan">
      <formula>0</formula>
    </cfRule>
    <cfRule type="cellIs" dxfId="212" priority="14" operator="greaterThan">
      <formula>0</formula>
    </cfRule>
  </conditionalFormatting>
  <conditionalFormatting sqref="E51:F61 P74 O66 E42:F44">
    <cfRule type="cellIs" dxfId="211" priority="9" operator="greaterThan">
      <formula>0</formula>
    </cfRule>
    <cfRule type="cellIs" dxfId="210" priority="10" operator="lessThan">
      <formula>0</formula>
    </cfRule>
  </conditionalFormatting>
  <conditionalFormatting sqref="E45:F45">
    <cfRule type="cellIs" dxfId="209" priority="7" operator="lessThan">
      <formula>0</formula>
    </cfRule>
    <cfRule type="cellIs" dxfId="208" priority="8" operator="greaterThan">
      <formula>0</formula>
    </cfRule>
  </conditionalFormatting>
  <conditionalFormatting sqref="B45">
    <cfRule type="cellIs" dxfId="207" priority="1" operator="lessThan">
      <formula>$D$45</formula>
    </cfRule>
    <cfRule type="cellIs" dxfId="206" priority="2" operator="greaterThan">
      <formula>$D$45</formula>
    </cfRule>
  </conditionalFormatting>
  <dataValidations xWindow="1627" yWindow="746" count="15">
    <dataValidation allowBlank="1" showInputMessage="1" showErrorMessage="1" promptTitle="Total EUR deposit" prompt="INFO:_x000a_Total ammount of EUR deposited." sqref="B36" xr:uid="{A3F2F7AC-20C2-4945-A7F0-1D374130955C}"/>
    <dataValidation allowBlank="1" showInputMessage="1" showErrorMessage="1" promptTitle="Total deposit" prompt="INFO:_x000a_Total ammount of every asset deposited.(eur + crypto assets)_x000a_" sqref="D47" xr:uid="{A7BCD648-3CF3-4E0B-AA57-26027BDA5E13}"/>
    <dataValidation allowBlank="1" showInputMessage="1" showErrorMessage="1" promptTitle="Total market capital/Trillion" prompt="INFO:_x000a_The total market capital of all major crypto assets in trillions." sqref="M1" xr:uid="{8C5657A8-42DA-462A-A2BE-AA0659DFFDAF}"/>
    <dataValidation allowBlank="1" showInputMessage="1" showErrorMessage="1" promptTitle="General crypto data" prompt="INFO:_x000a_General data about crypto." sqref="M48" xr:uid="{9E90D2B9-711B-4EDD-9421-2452AFB8F7DE}"/>
    <dataValidation allowBlank="1" showInputMessage="1" showErrorMessage="1" promptTitle="Portfolio status" prompt="INFO:_x000a_Shows whats in your portfolio, %, asset symbols and curret balances." sqref="B35" xr:uid="{4A990155-2B8C-4980-908B-22FA1CA1F030}"/>
    <dataValidation allowBlank="1" showInputMessage="1" showErrorMessage="1" promptTitle="Portfolio balance history" prompt="INFO:_x000a_The balance of your portfolio since you logged in. After every login the balances save so the status is updated by the login count....The more you log in the more precise the info will be." sqref="G35" xr:uid="{B6B69296-FBA7-40F2-A709-AD88B4997D2A}"/>
    <dataValidation allowBlank="1" showInputMessage="1" showErrorMessage="1" promptTitle="EUR deposits / withdrawals" prompt="INFO:_x000a_Status of your deposits and withdrawals. Just the eur balances." sqref="K35" xr:uid="{105FB1C7-5CC9-4CEC-B979-2DA8BEA435D9}"/>
    <dataValidation allowBlank="1" showInputMessage="1" showErrorMessage="1" promptTitle="All deposits / withdrawals" prompt="INFO:_x000a_Status of your deposits and withdrawals. All balances." sqref="N35" xr:uid="{A08D44DB-5E1D-4F79-A917-3BA28E12AC1E}"/>
    <dataValidation allowBlank="1" showInputMessage="1" showErrorMessage="1" promptTitle="Market capitulation" prompt="INFO:_x000a_The market cap. of top 200 coins by market cap.." sqref="Q33" xr:uid="{A7B304B2-C0FD-48EF-A6E7-38E03053FA39}"/>
    <dataValidation allowBlank="1" showInputMessage="1" showErrorMessage="1" promptTitle="Days since first trade" prompt="INFO:_x000a_Number of days since first trade you filled in in the &quot;Purchases&quot;." sqref="K1" xr:uid="{16423D81-7B05-4066-86E2-447C3B7C8F0E}"/>
    <dataValidation allowBlank="1" showInputMessage="1" showErrorMessage="1" promptTitle="Total number of trades" prompt="INFO:_x000a_The total number of trades you filled in in the &quot;Purchases&quot;." sqref="K2" xr:uid="{FCE5C52D-597A-481D-A27D-DD85E7CD82E9}"/>
    <dataValidation allowBlank="1" showInputMessage="1" showErrorMessage="1" promptTitle="Number of traded coins" prompt="INFO:_x000a_The total number of traded coins by &quot;Purchases&quot;." sqref="K3" xr:uid="{C3156ADD-D37F-4E63-90FF-F7EE33424FE3}"/>
    <dataValidation allowBlank="1" showInputMessage="1" showErrorMessage="1" promptTitle="Price hisotry of your assets" prompt="INFO:_x000a_Your top 10 assets price history." sqref="T5" xr:uid="{29207191-6D59-4C2F-B63A-BE51DDD90999}"/>
    <dataValidation allowBlank="1" showInputMessage="1" showErrorMessage="1" promptTitle="Investment vs Current balance" prompt="INFO:_x000a_Shows you the status of your overall investment and current balance. _x000a_The gap between the two is your Profit. " sqref="I58" xr:uid="{ECFC7DA2-D39F-457B-9CA0-F2D4812F5D8D}"/>
    <dataValidation allowBlank="1" showInputMessage="1" showErrorMessage="1" promptTitle="Profit and ROI" prompt="INFO:_x000a_Shows you your profit (Gain or Loss) and the ROI (Return on investment), which is in %." sqref="N58" xr:uid="{E6D7376A-D6F6-44AB-942A-F48C52888578}"/>
  </dataValidations>
  <pageMargins left="0.7" right="0.7" top="0.75" bottom="0.75" header="0.3" footer="0.3"/>
  <pageSetup paperSize="9" orientation="portrait" r:id="rId1"/>
  <headerFooter>
    <oddHeader>&amp;Rby MUSHROOM&amp;CCrypto Sheets&amp;L2022</oddHeader>
    <oddFooter>&amp;Rby MUSHROOM&amp;CCrypto Sheets&amp;L2022</oddFooter>
  </headerFooter>
  <drawing r:id="rId2"/>
  <legacyDrawing r:id="rId3"/>
  <controls>
    <mc:AlternateContent xmlns:mc="http://schemas.openxmlformats.org/markup-compatibility/2006">
      <mc:Choice Requires="x14">
        <control shapeId="2055" r:id="rId4" name="CommandButton2">
          <controlPr defaultSize="0" autoLine="0" r:id="rId5">
            <anchor moveWithCells="1">
              <from>
                <xdr:col>3</xdr:col>
                <xdr:colOff>220980</xdr:colOff>
                <xdr:row>0</xdr:row>
                <xdr:rowOff>0</xdr:rowOff>
              </from>
              <to>
                <xdr:col>4</xdr:col>
                <xdr:colOff>1173480</xdr:colOff>
                <xdr:row>2</xdr:row>
                <xdr:rowOff>91440</xdr:rowOff>
              </to>
            </anchor>
          </controlPr>
        </control>
      </mc:Choice>
      <mc:Fallback>
        <control shapeId="2055" r:id="rId4" name="CommandButton2"/>
      </mc:Fallback>
    </mc:AlternateContent>
    <mc:AlternateContent xmlns:mc="http://schemas.openxmlformats.org/markup-compatibility/2006">
      <mc:Choice Requires="x14">
        <control shapeId="2054" r:id="rId6" name="CommandButton1">
          <controlPr defaultSize="0" autoLine="0" r:id="rId7">
            <anchor moveWithCells="1">
              <from>
                <xdr:col>6</xdr:col>
                <xdr:colOff>121920</xdr:colOff>
                <xdr:row>0</xdr:row>
                <xdr:rowOff>0</xdr:rowOff>
              </from>
              <to>
                <xdr:col>7</xdr:col>
                <xdr:colOff>1653540</xdr:colOff>
                <xdr:row>2</xdr:row>
                <xdr:rowOff>91440</xdr:rowOff>
              </to>
            </anchor>
          </controlPr>
        </control>
      </mc:Choice>
      <mc:Fallback>
        <control shapeId="2054" r:id="rId6" name="CommandButton1"/>
      </mc:Fallback>
    </mc:AlternateContent>
    <mc:AlternateContent xmlns:mc="http://schemas.openxmlformats.org/markup-compatibility/2006">
      <mc:Choice Requires="x14">
        <control shapeId="2052" r:id="rId8" name="PortfolioLite2">
          <controlPr defaultSize="0" autoLine="0" r:id="rId9">
            <anchor moveWithCells="1">
              <from>
                <xdr:col>0</xdr:col>
                <xdr:colOff>0</xdr:colOff>
                <xdr:row>0</xdr:row>
                <xdr:rowOff>0</xdr:rowOff>
              </from>
              <to>
                <xdr:col>1</xdr:col>
                <xdr:colOff>845820</xdr:colOff>
                <xdr:row>2</xdr:row>
                <xdr:rowOff>91440</xdr:rowOff>
              </to>
            </anchor>
          </controlPr>
        </control>
      </mc:Choice>
      <mc:Fallback>
        <control shapeId="2052" r:id="rId8" name="PortfolioLite2"/>
      </mc:Fallback>
    </mc:AlternateContent>
    <mc:AlternateContent xmlns:mc="http://schemas.openxmlformats.org/markup-compatibility/2006">
      <mc:Choice Requires="x14">
        <control shapeId="2051" r:id="rId10" name="Purchases2">
          <controlPr defaultSize="0" autoLine="0" r:id="rId11">
            <anchor moveWithCells="1">
              <from>
                <xdr:col>1</xdr:col>
                <xdr:colOff>982980</xdr:colOff>
                <xdr:row>0</xdr:row>
                <xdr:rowOff>0</xdr:rowOff>
              </from>
              <to>
                <xdr:col>3</xdr:col>
                <xdr:colOff>76200</xdr:colOff>
                <xdr:row>2</xdr:row>
                <xdr:rowOff>91440</xdr:rowOff>
              </to>
            </anchor>
          </controlPr>
        </control>
      </mc:Choice>
      <mc:Fallback>
        <control shapeId="2051" r:id="rId10" name="Purchases2"/>
      </mc:Fallback>
    </mc:AlternateContent>
    <mc:AlternateContent xmlns:mc="http://schemas.openxmlformats.org/markup-compatibility/2006">
      <mc:Choice Requires="x14">
        <control shapeId="2050" r:id="rId12" name="Refresh2">
          <controlPr defaultSize="0" autoLine="0" r:id="rId13">
            <anchor moveWithCells="1">
              <from>
                <xdr:col>5</xdr:col>
                <xdr:colOff>0</xdr:colOff>
                <xdr:row>0</xdr:row>
                <xdr:rowOff>0</xdr:rowOff>
              </from>
              <to>
                <xdr:col>6</xdr:col>
                <xdr:colOff>304800</xdr:colOff>
                <xdr:row>2</xdr:row>
                <xdr:rowOff>99060</xdr:rowOff>
              </to>
            </anchor>
          </controlPr>
        </control>
      </mc:Choice>
      <mc:Fallback>
        <control shapeId="2050" r:id="rId12" name="Refresh2"/>
      </mc:Fallback>
    </mc:AlternateContent>
  </controls>
  <tableParts count="2">
    <tablePart r:id="rId14"/>
    <tablePart r:id="rId1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61970-373D-4BF2-A9E7-6ABC097EE47D}">
  <sheetPr codeName="Sheet1">
    <tabColor rgb="FFFF0000"/>
  </sheetPr>
  <dimension ref="B1:Z11"/>
  <sheetViews>
    <sheetView zoomScale="73" zoomScaleNormal="115" workbookViewId="0">
      <selection activeCell="B6" sqref="B6"/>
    </sheetView>
  </sheetViews>
  <sheetFormatPr defaultColWidth="13" defaultRowHeight="14.4" x14ac:dyDescent="0.3"/>
  <cols>
    <col min="1" max="1" width="6.6640625" style="209" customWidth="1"/>
    <col min="2" max="2" width="6.77734375" style="208" bestFit="1" customWidth="1"/>
    <col min="3" max="3" width="15.33203125" style="216" bestFit="1" customWidth="1"/>
    <col min="4" max="4" width="10.6640625" style="209" bestFit="1" customWidth="1"/>
    <col min="5" max="5" width="10.33203125" style="209" bestFit="1" customWidth="1"/>
    <col min="6" max="6" width="11.109375" style="209" bestFit="1" customWidth="1"/>
    <col min="7" max="7" width="8.44140625" style="209" bestFit="1" customWidth="1"/>
    <col min="8" max="8" width="11.77734375" style="209" bestFit="1" customWidth="1"/>
    <col min="9" max="9" width="13.77734375" style="209" bestFit="1" customWidth="1"/>
    <col min="10" max="10" width="15.44140625" style="209" bestFit="1" customWidth="1"/>
    <col min="11" max="11" width="14.44140625" style="209" bestFit="1" customWidth="1"/>
    <col min="12" max="16384" width="13" style="209"/>
  </cols>
  <sheetData>
    <row r="1" spans="2:26" ht="18" x14ac:dyDescent="0.3">
      <c r="B1" s="235" t="s">
        <v>1152</v>
      </c>
      <c r="C1" s="236" t="s">
        <v>0</v>
      </c>
      <c r="D1" s="236" t="s">
        <v>1</v>
      </c>
      <c r="E1" s="236" t="s">
        <v>2</v>
      </c>
      <c r="F1" s="236" t="s">
        <v>3</v>
      </c>
      <c r="G1" s="236" t="s">
        <v>4</v>
      </c>
      <c r="H1" s="236" t="s">
        <v>5</v>
      </c>
      <c r="I1" s="236" t="s">
        <v>6</v>
      </c>
      <c r="J1" s="236" t="s">
        <v>7</v>
      </c>
      <c r="K1" s="236" t="s">
        <v>8</v>
      </c>
      <c r="M1" s="210"/>
      <c r="N1" s="210"/>
      <c r="O1" s="211"/>
      <c r="P1" s="212"/>
      <c r="Q1" s="213"/>
      <c r="R1" s="214"/>
      <c r="S1" s="213"/>
      <c r="T1" s="215"/>
      <c r="Z1" s="216"/>
    </row>
    <row r="2" spans="2:26" x14ac:dyDescent="0.3">
      <c r="B2" s="311">
        <f t="shared" ref="B2" si="0">ROW()-1</f>
        <v>1</v>
      </c>
      <c r="C2" s="312" t="s">
        <v>1235</v>
      </c>
      <c r="D2" s="315" t="s">
        <v>9</v>
      </c>
      <c r="E2" s="315" t="s">
        <v>1093</v>
      </c>
      <c r="F2" s="316">
        <v>1000</v>
      </c>
      <c r="G2" s="317">
        <v>20</v>
      </c>
      <c r="H2" s="318">
        <f t="shared" ref="H2:H6" si="1">IFERROR(SUM(F2-G2),"0")</f>
        <v>980</v>
      </c>
      <c r="I2" s="319">
        <f t="shared" ref="I2:I6" si="2">IFERROR(SUM(H2/J2), "-")</f>
        <v>980</v>
      </c>
      <c r="J2" s="318">
        <v>1</v>
      </c>
      <c r="K2" s="320" t="str">
        <f>IFERROR(IF(Table1[[#This Row],[Asset]]="eur","",SUM((VLOOKUP(Table1[[#This Row],[Asset]],Coingecko_API!$B$1:$M$5000,4,FALSE)/Table1[[#This Row],[Coin value]])-1)),"0")</f>
        <v/>
      </c>
    </row>
    <row r="3" spans="2:26" x14ac:dyDescent="0.3">
      <c r="B3" s="311">
        <f>ROW()-1</f>
        <v>2</v>
      </c>
      <c r="C3" s="312" t="s">
        <v>1237</v>
      </c>
      <c r="D3" s="315" t="s">
        <v>10</v>
      </c>
      <c r="E3" s="315" t="s">
        <v>1093</v>
      </c>
      <c r="F3" s="316">
        <v>-500</v>
      </c>
      <c r="G3" s="317">
        <v>20</v>
      </c>
      <c r="H3" s="318">
        <f t="shared" si="1"/>
        <v>-520</v>
      </c>
      <c r="I3" s="319">
        <f t="shared" si="2"/>
        <v>-520</v>
      </c>
      <c r="J3" s="318">
        <v>1</v>
      </c>
      <c r="K3" s="320" t="str">
        <f>IFERROR(IF(Table1[[#This Row],[Asset]]="eur","",SUM((VLOOKUP(Table1[[#This Row],[Asset]],Coingecko_API!$B$1:$M$5000,4,FALSE)/Table1[[#This Row],[Coin value]])-1)),"0")</f>
        <v/>
      </c>
    </row>
    <row r="4" spans="2:26" x14ac:dyDescent="0.3">
      <c r="B4" s="311">
        <f>ROW()-1</f>
        <v>3</v>
      </c>
      <c r="C4" s="312" t="s">
        <v>1236</v>
      </c>
      <c r="D4" s="315" t="s">
        <v>11</v>
      </c>
      <c r="E4" s="315" t="s">
        <v>44</v>
      </c>
      <c r="F4" s="316">
        <v>500</v>
      </c>
      <c r="G4" s="317">
        <v>0</v>
      </c>
      <c r="H4" s="318">
        <f t="shared" si="1"/>
        <v>500</v>
      </c>
      <c r="I4" s="319">
        <f t="shared" si="2"/>
        <v>1.6666666666666666E-2</v>
      </c>
      <c r="J4" s="318">
        <v>30000</v>
      </c>
      <c r="K4" s="320">
        <f>IFERROR(IF(Table1[[#This Row],[Asset]]="eur","",SUM((VLOOKUP(Table1[[#This Row],[Asset]],Coingecko_API!$B$1:$M$5000,4,FALSE)/Table1[[#This Row],[Coin value]])-1)),"0")</f>
        <v>-0.27729999999999999</v>
      </c>
    </row>
    <row r="5" spans="2:26" x14ac:dyDescent="0.3">
      <c r="B5" s="311">
        <f>ROW()-1</f>
        <v>4</v>
      </c>
      <c r="C5" s="312" t="s">
        <v>1238</v>
      </c>
      <c r="D5" s="315" t="s">
        <v>10</v>
      </c>
      <c r="E5" s="315" t="s">
        <v>1093</v>
      </c>
      <c r="F5" s="316">
        <v>-440</v>
      </c>
      <c r="G5" s="317">
        <v>20</v>
      </c>
      <c r="H5" s="318">
        <f t="shared" si="1"/>
        <v>-460</v>
      </c>
      <c r="I5" s="319">
        <f t="shared" si="2"/>
        <v>-460</v>
      </c>
      <c r="J5" s="318">
        <v>1</v>
      </c>
      <c r="K5" s="320" t="str">
        <f>IFERROR(IF(Table1[[#This Row],[Asset]]="eur","",SUM((VLOOKUP(Table1[[#This Row],[Asset]],Coingecko_API!$B$1:$M$5000,4,FALSE)/Table1[[#This Row],[Coin value]])-1)),"0")</f>
        <v/>
      </c>
    </row>
    <row r="6" spans="2:26" ht="15" thickBot="1" x14ac:dyDescent="0.35">
      <c r="B6" s="311">
        <f>ROW()-1</f>
        <v>5</v>
      </c>
      <c r="C6" s="312" t="s">
        <v>1239</v>
      </c>
      <c r="D6" s="315" t="s">
        <v>11</v>
      </c>
      <c r="E6" s="315" t="s">
        <v>50</v>
      </c>
      <c r="F6" s="316">
        <v>440</v>
      </c>
      <c r="G6" s="317">
        <v>0</v>
      </c>
      <c r="H6" s="318">
        <f t="shared" si="1"/>
        <v>440</v>
      </c>
      <c r="I6" s="319">
        <f t="shared" si="2"/>
        <v>0.22</v>
      </c>
      <c r="J6" s="318">
        <v>2000</v>
      </c>
      <c r="K6" s="320">
        <f>IFERROR(IF(Table1[[#This Row],[Asset]]="eur","",SUM((VLOOKUP(Table1[[#This Row],[Asset]],Coingecko_API!$B$1:$M$5000,4,FALSE)/Table1[[#This Row],[Coin value]])-1)),"0")</f>
        <v>-0.40950500000000001</v>
      </c>
    </row>
    <row r="7" spans="2:26" ht="15" thickBot="1" x14ac:dyDescent="0.35">
      <c r="B7" s="299"/>
      <c r="C7" s="300"/>
      <c r="D7" s="301"/>
      <c r="E7" s="302"/>
      <c r="F7" s="302"/>
      <c r="G7" s="302"/>
      <c r="H7" s="302"/>
      <c r="I7" s="302"/>
      <c r="J7" s="302"/>
      <c r="K7" s="302"/>
    </row>
    <row r="8" spans="2:26" x14ac:dyDescent="0.3">
      <c r="B8" s="219"/>
      <c r="C8" s="220"/>
      <c r="D8" s="221"/>
      <c r="E8" s="221"/>
      <c r="F8" s="211"/>
      <c r="H8" s="222"/>
      <c r="K8" s="215"/>
    </row>
    <row r="9" spans="2:26" x14ac:dyDescent="0.3">
      <c r="B9" s="219"/>
      <c r="C9" s="220"/>
      <c r="D9" s="221"/>
      <c r="E9" s="221"/>
      <c r="F9" s="211"/>
      <c r="H9" s="218"/>
      <c r="K9" s="215"/>
    </row>
    <row r="10" spans="2:26" x14ac:dyDescent="0.3">
      <c r="B10" s="219"/>
      <c r="C10" s="220"/>
      <c r="D10" s="221"/>
      <c r="E10" s="221"/>
      <c r="F10" s="211"/>
      <c r="H10" s="218"/>
      <c r="K10" s="215"/>
    </row>
    <row r="11" spans="2:26" x14ac:dyDescent="0.3">
      <c r="B11" s="219"/>
      <c r="C11" s="220"/>
      <c r="D11" s="221"/>
      <c r="E11" s="221"/>
      <c r="F11" s="211"/>
      <c r="H11" s="218"/>
      <c r="K11" s="215"/>
    </row>
  </sheetData>
  <sheetProtection selectLockedCells="1" selectUnlockedCells="1"/>
  <conditionalFormatting sqref="K1:K6 H1:H7 F1:F7">
    <cfRule type="cellIs" dxfId="191" priority="767" operator="lessThan">
      <formula>0</formula>
    </cfRule>
  </conditionalFormatting>
  <conditionalFormatting sqref="D1:D7">
    <cfRule type="containsText" dxfId="190" priority="765" operator="containsText" text="withdrawal">
      <formula>NOT(ISERROR(SEARCH("withdrawal",D1)))</formula>
    </cfRule>
    <cfRule type="containsText" dxfId="189" priority="766" operator="containsText" text="receive">
      <formula>NOT(ISERROR(SEARCH("receive",D1)))</formula>
    </cfRule>
    <cfRule type="containsText" dxfId="188" priority="768" operator="containsText" text="spend">
      <formula>NOT(ISERROR(SEARCH("spend",D1)))</formula>
    </cfRule>
    <cfRule type="containsText" dxfId="187" priority="770" operator="containsText" text="deposit">
      <formula>NOT(ISERROR(SEARCH("deposit",D1)))</formula>
    </cfRule>
  </conditionalFormatting>
  <conditionalFormatting sqref="E1:E7">
    <cfRule type="containsText" dxfId="186" priority="588" operator="containsText" text="eur">
      <formula>NOT(ISERROR(SEARCH("eur",E1)))</formula>
    </cfRule>
  </conditionalFormatting>
  <conditionalFormatting sqref="K2:K6 H2:H6 F2:F6">
    <cfRule type="cellIs" dxfId="185" priority="57" operator="lessThan">
      <formula>0</formula>
    </cfRule>
  </conditionalFormatting>
  <conditionalFormatting sqref="D2:D6">
    <cfRule type="containsText" dxfId="184" priority="55" operator="containsText" text="withdrawal">
      <formula>NOT(ISERROR(SEARCH("withdrawal",D2)))</formula>
    </cfRule>
    <cfRule type="containsText" dxfId="183" priority="56" operator="containsText" text="receive">
      <formula>NOT(ISERROR(SEARCH("receive",D2)))</formula>
    </cfRule>
    <cfRule type="containsText" dxfId="182" priority="58" operator="containsText" text="spend">
      <formula>NOT(ISERROR(SEARCH("spend",D2)))</formula>
    </cfRule>
    <cfRule type="containsText" dxfId="181" priority="59" operator="containsText" text="deposit">
      <formula>NOT(ISERROR(SEARCH("deposit",D2)))</formula>
    </cfRule>
  </conditionalFormatting>
  <conditionalFormatting sqref="E2:E6">
    <cfRule type="containsText" dxfId="180" priority="46" operator="containsText" text="eur">
      <formula>NOT(ISERROR(SEARCH("eur",E2)))</formula>
    </cfRule>
  </conditionalFormatting>
  <conditionalFormatting sqref="K2:K6 H2:H6 F2:F6">
    <cfRule type="cellIs" dxfId="179" priority="42" operator="lessThan">
      <formula>0</formula>
    </cfRule>
  </conditionalFormatting>
  <conditionalFormatting sqref="D2:D6">
    <cfRule type="containsText" dxfId="178" priority="40" operator="containsText" text="withdrawal">
      <formula>NOT(ISERROR(SEARCH("withdrawal",D2)))</formula>
    </cfRule>
    <cfRule type="containsText" dxfId="177" priority="41" operator="containsText" text="receive">
      <formula>NOT(ISERROR(SEARCH("receive",D2)))</formula>
    </cfRule>
    <cfRule type="containsText" dxfId="176" priority="43" operator="containsText" text="spend">
      <formula>NOT(ISERROR(SEARCH("spend",D2)))</formula>
    </cfRule>
    <cfRule type="containsText" dxfId="175" priority="44" operator="containsText" text="deposit">
      <formula>NOT(ISERROR(SEARCH("deposit",D2)))</formula>
    </cfRule>
  </conditionalFormatting>
  <conditionalFormatting sqref="E2:E6">
    <cfRule type="containsText" dxfId="174" priority="31" operator="containsText" text="eur">
      <formula>NOT(ISERROR(SEARCH("eur",E2)))</formula>
    </cfRule>
  </conditionalFormatting>
  <conditionalFormatting sqref="K2:K6 H2:H6 F2:F6">
    <cfRule type="cellIs" dxfId="173" priority="27" operator="lessThan">
      <formula>0</formula>
    </cfRule>
  </conditionalFormatting>
  <conditionalFormatting sqref="D2:D6">
    <cfRule type="containsText" dxfId="172" priority="25" operator="containsText" text="withdrawal">
      <formula>NOT(ISERROR(SEARCH("withdrawal",D2)))</formula>
    </cfRule>
    <cfRule type="containsText" dxfId="171" priority="26" operator="containsText" text="receive">
      <formula>NOT(ISERROR(SEARCH("receive",D2)))</formula>
    </cfRule>
    <cfRule type="containsText" dxfId="170" priority="28" operator="containsText" text="spend">
      <formula>NOT(ISERROR(SEARCH("spend",D2)))</formula>
    </cfRule>
    <cfRule type="containsText" dxfId="169" priority="29" operator="containsText" text="deposit">
      <formula>NOT(ISERROR(SEARCH("deposit",D2)))</formula>
    </cfRule>
  </conditionalFormatting>
  <conditionalFormatting sqref="E2:E6">
    <cfRule type="containsText" dxfId="168" priority="16" operator="containsText" text="eur">
      <formula>NOT(ISERROR(SEARCH("eur",E2)))</formula>
    </cfRule>
  </conditionalFormatting>
  <conditionalFormatting sqref="K2:K6 H2:H6 F2:F6">
    <cfRule type="cellIs" dxfId="167" priority="12" operator="lessThan">
      <formula>0</formula>
    </cfRule>
  </conditionalFormatting>
  <conditionalFormatting sqref="D2:D6">
    <cfRule type="containsText" dxfId="166" priority="10" operator="containsText" text="withdrawal">
      <formula>NOT(ISERROR(SEARCH("withdrawal",D2)))</formula>
    </cfRule>
    <cfRule type="containsText" dxfId="165" priority="11" operator="containsText" text="receive">
      <formula>NOT(ISERROR(SEARCH("receive",D2)))</formula>
    </cfRule>
    <cfRule type="containsText" dxfId="164" priority="13" operator="containsText" text="spend">
      <formula>NOT(ISERROR(SEARCH("spend",D2)))</formula>
    </cfRule>
    <cfRule type="containsText" dxfId="163" priority="14" operator="containsText" text="deposit">
      <formula>NOT(ISERROR(SEARCH("deposit",D2)))</formula>
    </cfRule>
  </conditionalFormatting>
  <conditionalFormatting sqref="E2:E6">
    <cfRule type="containsText" dxfId="162" priority="1" operator="containsText" text="eur">
      <formula>NOT(ISERROR(SEARCH("eur",E2)))</formula>
    </cfRule>
  </conditionalFormatting>
  <dataValidations xWindow="1565" yWindow="740" count="17">
    <dataValidation allowBlank="1" showInputMessage="1" showErrorMessage="1" promptTitle="Transaction date - FILL IN" prompt="ALERT:_x000a_Fill in the transaction date and time._x000a_INFO:_x000a_Input the exact transaction date. Try so that every cell is different. (If there are same dates and time in two transactions, then push one of them by a minute or second so the algorythm can sort them)" sqref="B8:C11 B1:B6 B2:B6" xr:uid="{B480613A-459B-4D0C-B9D4-B4B4395DCDA8}"/>
    <dataValidation allowBlank="1" showInputMessage="1" showErrorMessage="1" promptTitle="(Value-Fee) - AUTOFILL" prompt="ALERT:_x000a_This cell is filled out automatically. Do not type in it._x000a_INFO:_x000a_The asset value with deducted fee." sqref="H8:H11 Q1" xr:uid="{BC3B9A27-E891-498E-BB1F-1C7D3686D9EE}"/>
    <dataValidation allowBlank="1" showInputMessage="1" showErrorMessage="1" promptTitle="Coin value - FILL IN" prompt="ALERT:_x000a_Fill in the price per one coin._x000a_INFO: _x000a_If the &quot;Asset&quot; is &quot;eur&quot;, then its laways 1. (1eur=1eur)_x000a_If the &quot;Asset&quot; is a crypto coin, then its the price of the coin in that specific time." sqref="J8:J11 S1" xr:uid="{8DA66E28-40CF-4A19-B447-E7A90B979CF0}"/>
    <dataValidation allowBlank="1" showInputMessage="1" showErrorMessage="1" promptTitle="Quantity - AUTOFILL" prompt="ALERT: _x000a_This cell is filled out automatically. Do not type in it._x000a_INFO:_x000a_The amount of regular or crypto asset." sqref="I8:I11 R1 I2:I6" xr:uid="{63BD2197-51B8-4F41-9F18-7D539269E0E3}"/>
    <dataValidation allowBlank="1" showInputMessage="1" showErrorMessage="1" promptTitle="%change - AUTOFILL" prompt="ALERT: _x000a_This cell is filled out automatically. Do not type in it._x000a_INFO: _x000a_The % of change of the crypto asset price. From specified date till now." sqref="K8:K11 T1" xr:uid="{E37F2154-4518-4B6F-ACA8-AF700A08AD07}"/>
    <dataValidation allowBlank="1" showInputMessage="1" showErrorMessage="1" promptTitle="Fee - FILL IN" prompt="ALERT:_x000a_Fill in the value of the fee. If there is no fee then fill in &quot;0&quot;._x000a_INFO:_x000a_Fee which was paid." sqref="G8:G11 P1" xr:uid="{D6FA2A82-F6EF-4EB6-BC0B-BC439671C3E0}"/>
    <dataValidation type="list" allowBlank="1" showInputMessage="1" showErrorMessage="1" errorTitle="ERROR :/" error="ALERT:_x000a_You either made a typo or you have choosen the wrong cell value._x000a_INFO: _x000a_Your choices are: &quot;deposit&quot;, &quot;withdrawal&quot;, &quot;spend&quot;, &quot;recieve&quot;." promptTitle="Transaction type - FILL IN" prompt="ALERT:_x000a_Fill in the type of the transaction. Be aware of typos. The cell wont accept wrong symbols._x000a_INFO:_x000a_Choose one of the transaction methods listed in the cell dropdown menu. " sqref="D8:D11" xr:uid="{6ABBB916-7CF2-4BE1-A880-A2BAC6490BB3}">
      <formula1>"deposit,withdrawal,spend,receive,trade"</formula1>
    </dataValidation>
    <dataValidation allowBlank="1" showInputMessage="1" showErrorMessage="1" promptTitle="Value - FILL IN" prompt="ALERT: _x000a_Fill in the value of transaction._x000a_If the type of transaction is &quot;SPEND&quot;, then dont forget the &quot;-&quot; sign before the value!!! _x000a_INFO:_x000a_The value of the crypto or regular asset." sqref="F8:F11" xr:uid="{A8E4FCCB-98B4-4205-B39A-93BC7F4AEF00}"/>
    <dataValidation type="list" allowBlank="1" showInputMessage="1" showErrorMessage="1" promptTitle="Transaction type - FILL IN" prompt="ALERT:_x000a_Fill in the type of the transaction. Be aware of typos. The cell wont accept wrong symbols._x000a_INFO:_x000a_Choose one of the transaction methods listed in the cell dropdown menu. " sqref="M1" xr:uid="{03C72A2A-9C17-4BCB-96FB-916781E496BC}">
      <formula1>"deposit,withdrawal,spend,receive,trade"</formula1>
    </dataValidation>
    <dataValidation allowBlank="1" showInputMessage="1" showErrorMessage="1" promptTitle="Value - FILL IN" prompt="ALERT: _x000a_Fill in the value of transaction._x000a_INFO:_x000a_The value of the crypto or regular asset." sqref="O1" xr:uid="{3EC2439A-2CFC-4688-822F-73F10A3F3B80}"/>
    <dataValidation type="list" allowBlank="1" showInputMessage="1" showErrorMessage="1" errorTitle="ERROR :/" error="ALERT:_x000a_You either made a typo or you have choosen the wrong cell value._x000a_INFO: _x000a_Your choices are: &quot;deposit&quot;, &quot;withdrawal&quot;, &quot;spend&quot;, &quot;recieve&quot;." promptTitle="Transaction type - FILL IN" prompt="ALERT:_x000a_Fill in the type of the transaction. Be aware of typos. The cell will not accept wrong symbols._x000a_INFO:_x000a_Choose one of the transaction methods listed in the cell dropdown menu. " sqref="D2:D6" xr:uid="{A638280B-8966-4D80-8E53-CDFA4C4AD708}">
      <formula1>"deposit,withdrawal,spend,receive,trade"</formula1>
    </dataValidation>
    <dataValidation allowBlank="1" showInputMessage="1" showErrorMessage="1" promptTitle="Value - FILL IN" prompt="ALERT: _x000a_Fill in the value of transaction._x000a_If the type of transaction is &quot;spend&quot; or &quot;withdrawal&quot; , then dont forget the &quot;-&quot; sign before the value!!! _x000a_INFO:_x000a_The amount of the crypto or regular asset._x000a_" sqref="F2:F6" xr:uid="{4EEA42F6-EFC6-471F-BE7D-347376874450}"/>
    <dataValidation allowBlank="1" showInputMessage="1" showErrorMessage="1" promptTitle="Transaction date - FILL IN" prompt="ALERT:_x000a_Fill in the transaction date and time._x000a_INFO:_x000a_Input the exact transaction date. Try so that every cell is different. _x000a_(If there are same dates and time in two transactions, then push one of them by a minute or second so the algorythm can sort them)" sqref="C2:C6" xr:uid="{8CCF6FB8-213F-4D02-B174-679B7428BAB0}"/>
    <dataValidation allowBlank="1" showInputMessage="1" showErrorMessage="1" promptTitle="Fee - FILL IN" prompt="ALERT:_x000a_Fill in the value of the fee. If there is no fee then fill in &quot;0&quot;._x000a_INFO:_x000a_The fee, which was paid during the transaction." sqref="G2:G6" xr:uid="{09C306BF-C381-48C2-95BC-F74DA9CE3257}"/>
    <dataValidation allowBlank="1" showInputMessage="1" showErrorMessage="1" promptTitle="(Value-Fee) - AUTOFILL" prompt="ALERT:_x000a_This cell is filled out automatically. Do not type in it._x000a_INFO:_x000a_The value with deducted fee." sqref="H2:H6" xr:uid="{6469E683-85B8-4EFF-986E-D57439DD9237}"/>
    <dataValidation allowBlank="1" showInputMessage="1" showErrorMessage="1" promptTitle="%change - AUTOFILL" prompt="ALERT: _x000a_This cell is filled out automatically. Do not type in it._x000a_INFO: _x000a_The price change (in %) of the crypto asset from transaction date till now." sqref="K2:K6" xr:uid="{12366F24-6991-4EAC-8C21-2A72CF514F50}"/>
    <dataValidation allowBlank="1" showInputMessage="1" showErrorMessage="1" promptTitle="Coin value - FILL IN" prompt="ALERT:_x000a_Fill in the price per one coin._x000a_INFO: _x000a_If the asset is &quot;eur&quot;, then its laways 1. (1eur=1eur)_x000a_If the asset is a crypto coin, then its the price of the coin in the time of transaction." sqref="J2:J6" xr:uid="{3F95ADDB-B126-4C7A-8F44-9F73C4D97F53}"/>
  </dataValidations>
  <pageMargins left="0.7" right="0.7" top="0.75" bottom="0.75" header="0.3" footer="0.3"/>
  <pageSetup paperSize="9" orientation="portrait" r:id="rId1"/>
  <headerFooter>
    <oddHeader>&amp;Rby MUSHROOM&amp;CCrypto Sheets&amp;L2022</oddHeader>
    <oddFooter>&amp;Rby MUSHROOM&amp;CCrypto Sheets&amp;L2022</oddFooter>
  </headerFooter>
  <drawing r:id="rId2"/>
  <legacyDrawing r:id="rId3"/>
  <controls>
    <mc:AlternateContent xmlns:mc="http://schemas.openxmlformats.org/markup-compatibility/2006">
      <mc:Choice Requires="x14">
        <control shapeId="1067" r:id="rId4" name="CommandButton8">
          <controlPr defaultSize="0" autoLine="0" r:id="rId5">
            <anchor moveWithCells="1">
              <from>
                <xdr:col>7</xdr:col>
                <xdr:colOff>754380</xdr:colOff>
                <xdr:row>9</xdr:row>
                <xdr:rowOff>114300</xdr:rowOff>
              </from>
              <to>
                <xdr:col>9</xdr:col>
                <xdr:colOff>289560</xdr:colOff>
                <xdr:row>11</xdr:row>
                <xdr:rowOff>129540</xdr:rowOff>
              </to>
            </anchor>
          </controlPr>
        </control>
      </mc:Choice>
      <mc:Fallback>
        <control shapeId="1067" r:id="rId4" name="CommandButton8"/>
      </mc:Fallback>
    </mc:AlternateContent>
    <mc:AlternateContent xmlns:mc="http://schemas.openxmlformats.org/markup-compatibility/2006">
      <mc:Choice Requires="x14">
        <control shapeId="1065" r:id="rId6" name="CommandButton2">
          <controlPr defaultSize="0" autoLine="0" r:id="rId7">
            <anchor moveWithCells="1">
              <from>
                <xdr:col>7</xdr:col>
                <xdr:colOff>746760</xdr:colOff>
                <xdr:row>11</xdr:row>
                <xdr:rowOff>137160</xdr:rowOff>
              </from>
              <to>
                <xdr:col>9</xdr:col>
                <xdr:colOff>289560</xdr:colOff>
                <xdr:row>13</xdr:row>
                <xdr:rowOff>175260</xdr:rowOff>
              </to>
            </anchor>
          </controlPr>
        </control>
      </mc:Choice>
      <mc:Fallback>
        <control shapeId="1065" r:id="rId6" name="CommandButton2"/>
      </mc:Fallback>
    </mc:AlternateContent>
    <mc:AlternateContent xmlns:mc="http://schemas.openxmlformats.org/markup-compatibility/2006">
      <mc:Choice Requires="x14">
        <control shapeId="1063" r:id="rId8" name="CommandButton7">
          <controlPr defaultSize="0" autoLine="0" r:id="rId9">
            <anchor moveWithCells="1">
              <from>
                <xdr:col>2</xdr:col>
                <xdr:colOff>7620</xdr:colOff>
                <xdr:row>15</xdr:row>
                <xdr:rowOff>22860</xdr:rowOff>
              </from>
              <to>
                <xdr:col>6</xdr:col>
                <xdr:colOff>190500</xdr:colOff>
                <xdr:row>17</xdr:row>
                <xdr:rowOff>99060</xdr:rowOff>
              </to>
            </anchor>
          </controlPr>
        </control>
      </mc:Choice>
      <mc:Fallback>
        <control shapeId="1063" r:id="rId8" name="CommandButton7"/>
      </mc:Fallback>
    </mc:AlternateContent>
    <mc:AlternateContent xmlns:mc="http://schemas.openxmlformats.org/markup-compatibility/2006">
      <mc:Choice Requires="x14">
        <control shapeId="1060" r:id="rId10" name="CommandButton3">
          <controlPr defaultSize="0" autoLine="0" r:id="rId11">
            <anchor moveWithCells="1">
              <from>
                <xdr:col>2</xdr:col>
                <xdr:colOff>0</xdr:colOff>
                <xdr:row>17</xdr:row>
                <xdr:rowOff>167640</xdr:rowOff>
              </from>
              <to>
                <xdr:col>6</xdr:col>
                <xdr:colOff>175260</xdr:colOff>
                <xdr:row>20</xdr:row>
                <xdr:rowOff>68580</xdr:rowOff>
              </to>
            </anchor>
          </controlPr>
        </control>
      </mc:Choice>
      <mc:Fallback>
        <control shapeId="1060" r:id="rId10" name="CommandButton3"/>
      </mc:Fallback>
    </mc:AlternateContent>
    <mc:AlternateContent xmlns:mc="http://schemas.openxmlformats.org/markup-compatibility/2006">
      <mc:Choice Requires="x14">
        <control shapeId="1059" r:id="rId12" name="CommandButton6">
          <controlPr defaultSize="0" autoLine="0" r:id="rId13">
            <anchor moveWithCells="1">
              <from>
                <xdr:col>6</xdr:col>
                <xdr:colOff>381000</xdr:colOff>
                <xdr:row>15</xdr:row>
                <xdr:rowOff>22860</xdr:rowOff>
              </from>
              <to>
                <xdr:col>10</xdr:col>
                <xdr:colOff>419100</xdr:colOff>
                <xdr:row>17</xdr:row>
                <xdr:rowOff>106680</xdr:rowOff>
              </to>
            </anchor>
          </controlPr>
        </control>
      </mc:Choice>
      <mc:Fallback>
        <control shapeId="1059" r:id="rId12" name="CommandButton6"/>
      </mc:Fallback>
    </mc:AlternateContent>
    <mc:AlternateContent xmlns:mc="http://schemas.openxmlformats.org/markup-compatibility/2006">
      <mc:Choice Requires="x14">
        <control shapeId="1057" r:id="rId14" name="CommandButton4">
          <controlPr defaultSize="0" autoLine="0" r:id="rId15">
            <anchor moveWithCells="1">
              <from>
                <xdr:col>6</xdr:col>
                <xdr:colOff>381000</xdr:colOff>
                <xdr:row>17</xdr:row>
                <xdr:rowOff>160020</xdr:rowOff>
              </from>
              <to>
                <xdr:col>10</xdr:col>
                <xdr:colOff>419100</xdr:colOff>
                <xdr:row>20</xdr:row>
                <xdr:rowOff>60960</xdr:rowOff>
              </to>
            </anchor>
          </controlPr>
        </control>
      </mc:Choice>
      <mc:Fallback>
        <control shapeId="1057" r:id="rId14" name="CommandButton4"/>
      </mc:Fallback>
    </mc:AlternateContent>
    <mc:AlternateContent xmlns:mc="http://schemas.openxmlformats.org/markup-compatibility/2006">
      <mc:Choice Requires="x14">
        <control shapeId="1050" r:id="rId16" name="CommandButton1">
          <controlPr defaultSize="0" autoLine="0" r:id="rId17">
            <anchor moveWithCells="1">
              <from>
                <xdr:col>3</xdr:col>
                <xdr:colOff>457200</xdr:colOff>
                <xdr:row>9</xdr:row>
                <xdr:rowOff>121920</xdr:rowOff>
              </from>
              <to>
                <xdr:col>8</xdr:col>
                <xdr:colOff>38100</xdr:colOff>
                <xdr:row>14</xdr:row>
                <xdr:rowOff>0</xdr:rowOff>
              </to>
            </anchor>
          </controlPr>
        </control>
      </mc:Choice>
      <mc:Fallback>
        <control shapeId="1050" r:id="rId16" name="CommandButton1"/>
      </mc:Fallback>
    </mc:AlternateContent>
  </controls>
  <tableParts count="1">
    <tablePart r:id="rId18"/>
  </tableParts>
  <extLst>
    <ext xmlns:x14="http://schemas.microsoft.com/office/spreadsheetml/2009/9/main" uri="{78C0D931-6437-407d-A8EE-F0AAD7539E65}">
      <x14:conditionalFormattings>
        <x14:conditionalFormatting xmlns:xm="http://schemas.microsoft.com/office/excel/2006/main">
          <x14:cfRule type="cellIs" priority="589" operator="equal" id="{F7D9B980-67C9-4F09-A3EB-FA45DBDF590F}">
            <xm:f>Coingecko_API!$B$3</xm:f>
            <x14:dxf>
              <fill>
                <patternFill>
                  <bgColor theme="3" tint="0.39994506668294322"/>
                </patternFill>
              </fill>
            </x14:dxf>
          </x14:cfRule>
          <x14:cfRule type="cellIs" priority="591" operator="equal" id="{C6121774-4B12-4BF1-BDBB-C75F251400FA}">
            <xm:f>Coingecko_API!$B$9</xm:f>
            <x14:dxf>
              <fill>
                <patternFill>
                  <bgColor theme="5"/>
                </patternFill>
              </fill>
            </x14:dxf>
          </x14:cfRule>
          <x14:cfRule type="cellIs" priority="592" operator="equal" id="{5616485F-81C8-4154-B8CA-799ECA2189C8}">
            <xm:f>Coingecko_API!$B$8</xm:f>
            <x14:dxf>
              <fill>
                <patternFill>
                  <bgColor theme="8" tint="0.59996337778862885"/>
                </patternFill>
              </fill>
            </x14:dxf>
          </x14:cfRule>
          <x14:cfRule type="cellIs" priority="593" operator="equal" id="{1571F7FA-5DA6-4CEB-8D90-0AE32013D1A2}">
            <xm:f>Coingecko_API!$B$7</xm:f>
            <x14:dxf>
              <fill>
                <patternFill>
                  <bgColor theme="0" tint="-0.24994659260841701"/>
                </patternFill>
              </fill>
            </x14:dxf>
          </x14:cfRule>
          <x14:cfRule type="cellIs" priority="594" operator="equal" id="{538C982E-CAAB-48DC-B483-0D7C2E0F5119}">
            <xm:f>Coingecko_API!$B$6</xm:f>
            <x14:dxf>
              <fill>
                <patternFill>
                  <bgColor theme="7"/>
                </patternFill>
              </fill>
            </x14:dxf>
          </x14:cfRule>
          <x14:cfRule type="cellIs" priority="595" operator="equal" id="{8683DF26-85FE-4420-B6ED-051D509454D0}">
            <xm:f>Coingecko_API!$B$5</xm:f>
            <x14:dxf>
              <fill>
                <patternFill>
                  <bgColor rgb="FF0070C0"/>
                </patternFill>
              </fill>
            </x14:dxf>
          </x14:cfRule>
          <x14:cfRule type="cellIs" priority="596" operator="equal" id="{A5574958-4385-4D7C-9380-00A52AA12C9B}">
            <xm:f>Coingecko_API!$B$4</xm:f>
            <x14:dxf>
              <fill>
                <patternFill>
                  <bgColor theme="9" tint="-0.24994659260841701"/>
                </patternFill>
              </fill>
            </x14:dxf>
          </x14:cfRule>
          <x14:cfRule type="cellIs" priority="597" operator="equal" id="{2B6283F0-3BAE-4ED5-862D-63A5E149D12C}">
            <xm:f>Coingecko_API!$B$3</xm:f>
            <x14:dxf>
              <fill>
                <patternFill>
                  <bgColor theme="3" tint="0.39994506668294322"/>
                </patternFill>
              </fill>
            </x14:dxf>
          </x14:cfRule>
          <x14:cfRule type="cellIs" priority="771" operator="equal" id="{727CFDFB-9C89-4063-80B0-5A70FB9B1882}">
            <xm:f>Coingecko_API!$B$2</xm:f>
            <x14:dxf>
              <fill>
                <patternFill>
                  <bgColor theme="5"/>
                </patternFill>
              </fill>
            </x14:dxf>
          </x14:cfRule>
          <xm:sqref>E1:E7</xm:sqref>
        </x14:conditionalFormatting>
        <x14:conditionalFormatting xmlns:xm="http://schemas.microsoft.com/office/excel/2006/main">
          <x14:cfRule type="cellIs" priority="47" operator="equal" id="{5C175057-9F44-4BAE-8587-DB8695E3D4FE}">
            <xm:f>Coingecko_API!$B$3</xm:f>
            <x14:dxf>
              <fill>
                <patternFill>
                  <bgColor theme="3" tint="0.39994506668294322"/>
                </patternFill>
              </fill>
            </x14:dxf>
          </x14:cfRule>
          <x14:cfRule type="cellIs" priority="48" operator="equal" id="{6058CF93-18B9-4EAF-9947-CBB91298FF90}">
            <xm:f>Coingecko_API!$B$9</xm:f>
            <x14:dxf>
              <fill>
                <patternFill>
                  <bgColor theme="5"/>
                </patternFill>
              </fill>
            </x14:dxf>
          </x14:cfRule>
          <x14:cfRule type="cellIs" priority="49" operator="equal" id="{9B6B4D28-86E2-4A40-B6A9-AE88A1CAC171}">
            <xm:f>Coingecko_API!$B$8</xm:f>
            <x14:dxf>
              <fill>
                <patternFill>
                  <bgColor theme="8" tint="0.59996337778862885"/>
                </patternFill>
              </fill>
            </x14:dxf>
          </x14:cfRule>
          <x14:cfRule type="cellIs" priority="50" operator="equal" id="{CF7DF219-0B56-4EAB-B15C-0E0D37B9C45D}">
            <xm:f>Coingecko_API!$B$7</xm:f>
            <x14:dxf>
              <fill>
                <patternFill>
                  <bgColor theme="0" tint="-0.24994659260841701"/>
                </patternFill>
              </fill>
            </x14:dxf>
          </x14:cfRule>
          <x14:cfRule type="cellIs" priority="51" operator="equal" id="{4CCA263E-E986-4CA1-B42E-92235E4BB00A}">
            <xm:f>Coingecko_API!$B$6</xm:f>
            <x14:dxf>
              <fill>
                <patternFill>
                  <bgColor theme="7"/>
                </patternFill>
              </fill>
            </x14:dxf>
          </x14:cfRule>
          <x14:cfRule type="cellIs" priority="52" operator="equal" id="{56A6CDED-6BF7-4A21-B0CD-F99A6D9D35BF}">
            <xm:f>Coingecko_API!$B$5</xm:f>
            <x14:dxf>
              <fill>
                <patternFill>
                  <bgColor rgb="FF0070C0"/>
                </patternFill>
              </fill>
            </x14:dxf>
          </x14:cfRule>
          <x14:cfRule type="cellIs" priority="53" operator="equal" id="{0BBF9D98-8630-4BD3-9BF7-0AAE63D401AB}">
            <xm:f>Coingecko_API!$B$4</xm:f>
            <x14:dxf>
              <fill>
                <patternFill>
                  <bgColor theme="9" tint="-0.24994659260841701"/>
                </patternFill>
              </fill>
            </x14:dxf>
          </x14:cfRule>
          <x14:cfRule type="cellIs" priority="54" operator="equal" id="{3A62546B-344E-444D-B73C-F9725624EBF9}">
            <xm:f>Coingecko_API!$B$3</xm:f>
            <x14:dxf>
              <fill>
                <patternFill>
                  <bgColor theme="3" tint="0.39994506668294322"/>
                </patternFill>
              </fill>
            </x14:dxf>
          </x14:cfRule>
          <x14:cfRule type="cellIs" priority="60" operator="equal" id="{9B4D6E1E-E104-446A-A281-A393279DCA28}">
            <xm:f>Coingecko_API!$B$2</xm:f>
            <x14:dxf>
              <fill>
                <patternFill>
                  <bgColor theme="5"/>
                </patternFill>
              </fill>
            </x14:dxf>
          </x14:cfRule>
          <xm:sqref>E2:E6</xm:sqref>
        </x14:conditionalFormatting>
        <x14:conditionalFormatting xmlns:xm="http://schemas.microsoft.com/office/excel/2006/main">
          <x14:cfRule type="cellIs" priority="32" operator="equal" id="{2083EF9F-D922-499A-AFE3-163952C5BA59}">
            <xm:f>Coingecko_API!$B$3</xm:f>
            <x14:dxf>
              <fill>
                <patternFill>
                  <bgColor theme="3" tint="0.39994506668294322"/>
                </patternFill>
              </fill>
            </x14:dxf>
          </x14:cfRule>
          <x14:cfRule type="cellIs" priority="33" operator="equal" id="{1F02294A-4170-4238-9BD2-DAE60886A3FC}">
            <xm:f>Coingecko_API!$B$9</xm:f>
            <x14:dxf>
              <fill>
                <patternFill>
                  <bgColor theme="5"/>
                </patternFill>
              </fill>
            </x14:dxf>
          </x14:cfRule>
          <x14:cfRule type="cellIs" priority="34" operator="equal" id="{24033DAD-67BC-44EF-8E57-75F1FA488558}">
            <xm:f>Coingecko_API!$B$8</xm:f>
            <x14:dxf>
              <fill>
                <patternFill>
                  <bgColor theme="8" tint="0.59996337778862885"/>
                </patternFill>
              </fill>
            </x14:dxf>
          </x14:cfRule>
          <x14:cfRule type="cellIs" priority="35" operator="equal" id="{20D95EC8-83AD-4DDF-AF10-495FA3058F9E}">
            <xm:f>Coingecko_API!$B$7</xm:f>
            <x14:dxf>
              <fill>
                <patternFill>
                  <bgColor theme="0" tint="-0.24994659260841701"/>
                </patternFill>
              </fill>
            </x14:dxf>
          </x14:cfRule>
          <x14:cfRule type="cellIs" priority="36" operator="equal" id="{8CF6CDCB-5880-4B9F-A8A1-B6E9DF5D019F}">
            <xm:f>Coingecko_API!$B$6</xm:f>
            <x14:dxf>
              <fill>
                <patternFill>
                  <bgColor theme="7"/>
                </patternFill>
              </fill>
            </x14:dxf>
          </x14:cfRule>
          <x14:cfRule type="cellIs" priority="37" operator="equal" id="{410FFD67-EA20-4C08-9EDC-D17E48070330}">
            <xm:f>Coingecko_API!$B$5</xm:f>
            <x14:dxf>
              <fill>
                <patternFill>
                  <bgColor rgb="FF0070C0"/>
                </patternFill>
              </fill>
            </x14:dxf>
          </x14:cfRule>
          <x14:cfRule type="cellIs" priority="38" operator="equal" id="{7A8858FA-4C84-4296-B8D7-22B9F1356682}">
            <xm:f>Coingecko_API!$B$4</xm:f>
            <x14:dxf>
              <fill>
                <patternFill>
                  <bgColor theme="9" tint="-0.24994659260841701"/>
                </patternFill>
              </fill>
            </x14:dxf>
          </x14:cfRule>
          <x14:cfRule type="cellIs" priority="39" operator="equal" id="{9A9B3512-05DA-4E63-8AB5-55A5FE38BA1A}">
            <xm:f>Coingecko_API!$B$3</xm:f>
            <x14:dxf>
              <fill>
                <patternFill>
                  <bgColor theme="3" tint="0.39994506668294322"/>
                </patternFill>
              </fill>
            </x14:dxf>
          </x14:cfRule>
          <x14:cfRule type="cellIs" priority="45" operator="equal" id="{EC6F01DA-61DE-4ED0-9778-9A8DF607EE29}">
            <xm:f>Coingecko_API!$B$2</xm:f>
            <x14:dxf>
              <fill>
                <patternFill>
                  <bgColor theme="5"/>
                </patternFill>
              </fill>
            </x14:dxf>
          </x14:cfRule>
          <xm:sqref>E2:E6</xm:sqref>
        </x14:conditionalFormatting>
        <x14:conditionalFormatting xmlns:xm="http://schemas.microsoft.com/office/excel/2006/main">
          <x14:cfRule type="cellIs" priority="17" operator="equal" id="{1743106C-661B-49C3-9746-4B9C97B28410}">
            <xm:f>Coingecko_API!$B$3</xm:f>
            <x14:dxf>
              <fill>
                <patternFill>
                  <bgColor theme="3" tint="0.39994506668294322"/>
                </patternFill>
              </fill>
            </x14:dxf>
          </x14:cfRule>
          <x14:cfRule type="cellIs" priority="18" operator="equal" id="{ECD89964-3ADD-44E5-95DC-575AE52AD536}">
            <xm:f>Coingecko_API!$B$9</xm:f>
            <x14:dxf>
              <fill>
                <patternFill>
                  <bgColor theme="5"/>
                </patternFill>
              </fill>
            </x14:dxf>
          </x14:cfRule>
          <x14:cfRule type="cellIs" priority="19" operator="equal" id="{54FD2C84-8663-4A88-8EA9-AF7CA6E256E6}">
            <xm:f>Coingecko_API!$B$8</xm:f>
            <x14:dxf>
              <fill>
                <patternFill>
                  <bgColor theme="8" tint="0.59996337778862885"/>
                </patternFill>
              </fill>
            </x14:dxf>
          </x14:cfRule>
          <x14:cfRule type="cellIs" priority="20" operator="equal" id="{35544D24-0381-4FB2-AA4F-D94967A5B09D}">
            <xm:f>Coingecko_API!$B$7</xm:f>
            <x14:dxf>
              <fill>
                <patternFill>
                  <bgColor theme="0" tint="-0.24994659260841701"/>
                </patternFill>
              </fill>
            </x14:dxf>
          </x14:cfRule>
          <x14:cfRule type="cellIs" priority="21" operator="equal" id="{38545B5F-E5C3-4D51-883D-8E3FC8636D9C}">
            <xm:f>Coingecko_API!$B$6</xm:f>
            <x14:dxf>
              <fill>
                <patternFill>
                  <bgColor theme="7"/>
                </patternFill>
              </fill>
            </x14:dxf>
          </x14:cfRule>
          <x14:cfRule type="cellIs" priority="22" operator="equal" id="{7301EC46-EB87-4EBE-AD04-93AF0988CE4C}">
            <xm:f>Coingecko_API!$B$5</xm:f>
            <x14:dxf>
              <fill>
                <patternFill>
                  <bgColor rgb="FF0070C0"/>
                </patternFill>
              </fill>
            </x14:dxf>
          </x14:cfRule>
          <x14:cfRule type="cellIs" priority="23" operator="equal" id="{B0E4DCBC-0B72-4F1E-9107-29A6ADA1FC2C}">
            <xm:f>Coingecko_API!$B$4</xm:f>
            <x14:dxf>
              <fill>
                <patternFill>
                  <bgColor theme="9" tint="-0.24994659260841701"/>
                </patternFill>
              </fill>
            </x14:dxf>
          </x14:cfRule>
          <x14:cfRule type="cellIs" priority="24" operator="equal" id="{75D2F687-303B-4BC0-AD5B-DBD0D50BD9DB}">
            <xm:f>Coingecko_API!$B$3</xm:f>
            <x14:dxf>
              <fill>
                <patternFill>
                  <bgColor theme="3" tint="0.39994506668294322"/>
                </patternFill>
              </fill>
            </x14:dxf>
          </x14:cfRule>
          <x14:cfRule type="cellIs" priority="30" operator="equal" id="{75871168-4741-42C8-8A6E-0A3BA292588E}">
            <xm:f>Coingecko_API!$B$2</xm:f>
            <x14:dxf>
              <fill>
                <patternFill>
                  <bgColor theme="5"/>
                </patternFill>
              </fill>
            </x14:dxf>
          </x14:cfRule>
          <xm:sqref>E2:E6</xm:sqref>
        </x14:conditionalFormatting>
        <x14:conditionalFormatting xmlns:xm="http://schemas.microsoft.com/office/excel/2006/main">
          <x14:cfRule type="cellIs" priority="2" operator="equal" id="{A1633A58-ECBF-4178-951C-70AB50DE7852}">
            <xm:f>Coingecko_API!$B$3</xm:f>
            <x14:dxf>
              <fill>
                <patternFill>
                  <bgColor theme="3" tint="0.39994506668294322"/>
                </patternFill>
              </fill>
            </x14:dxf>
          </x14:cfRule>
          <x14:cfRule type="cellIs" priority="3" operator="equal" id="{9B73BAFE-0486-4912-9386-91C5DF2F1284}">
            <xm:f>Coingecko_API!$B$9</xm:f>
            <x14:dxf>
              <fill>
                <patternFill>
                  <bgColor theme="5"/>
                </patternFill>
              </fill>
            </x14:dxf>
          </x14:cfRule>
          <x14:cfRule type="cellIs" priority="4" operator="equal" id="{56C84877-662F-49B0-AC60-F7A477403B03}">
            <xm:f>Coingecko_API!$B$8</xm:f>
            <x14:dxf>
              <fill>
                <patternFill>
                  <bgColor theme="8" tint="0.59996337778862885"/>
                </patternFill>
              </fill>
            </x14:dxf>
          </x14:cfRule>
          <x14:cfRule type="cellIs" priority="5" operator="equal" id="{B8544AD9-750E-4270-B942-2CE71C080006}">
            <xm:f>Coingecko_API!$B$7</xm:f>
            <x14:dxf>
              <fill>
                <patternFill>
                  <bgColor theme="0" tint="-0.24994659260841701"/>
                </patternFill>
              </fill>
            </x14:dxf>
          </x14:cfRule>
          <x14:cfRule type="cellIs" priority="6" operator="equal" id="{1FEC3C0F-A839-44C3-909A-2448FA14AB26}">
            <xm:f>Coingecko_API!$B$6</xm:f>
            <x14:dxf>
              <fill>
                <patternFill>
                  <bgColor theme="7"/>
                </patternFill>
              </fill>
            </x14:dxf>
          </x14:cfRule>
          <x14:cfRule type="cellIs" priority="7" operator="equal" id="{87B93B75-AD0F-4687-949C-6786F3BA0FBF}">
            <xm:f>Coingecko_API!$B$5</xm:f>
            <x14:dxf>
              <fill>
                <patternFill>
                  <bgColor rgb="FF0070C0"/>
                </patternFill>
              </fill>
            </x14:dxf>
          </x14:cfRule>
          <x14:cfRule type="cellIs" priority="8" operator="equal" id="{906B3829-09D8-4809-B196-8B3EF0A4AB40}">
            <xm:f>Coingecko_API!$B$4</xm:f>
            <x14:dxf>
              <fill>
                <patternFill>
                  <bgColor theme="9" tint="-0.24994659260841701"/>
                </patternFill>
              </fill>
            </x14:dxf>
          </x14:cfRule>
          <x14:cfRule type="cellIs" priority="9" operator="equal" id="{08B52078-3756-47E3-8A39-F75D337258E4}">
            <xm:f>Coingecko_API!$B$3</xm:f>
            <x14:dxf>
              <fill>
                <patternFill>
                  <bgColor theme="3" tint="0.39994506668294322"/>
                </patternFill>
              </fill>
            </x14:dxf>
          </x14:cfRule>
          <x14:cfRule type="cellIs" priority="15" operator="equal" id="{E6718BD0-1384-48AB-86E9-71DF05DA7E91}">
            <xm:f>Coingecko_API!$B$2</xm:f>
            <x14:dxf>
              <fill>
                <patternFill>
                  <bgColor theme="5"/>
                </patternFill>
              </fill>
            </x14:dxf>
          </x14:cfRule>
          <xm:sqref>E2:E6</xm:sqref>
        </x14:conditionalFormatting>
      </x14:conditionalFormattings>
    </ext>
    <ext xmlns:x14="http://schemas.microsoft.com/office/spreadsheetml/2009/9/main" uri="{CCE6A557-97BC-4b89-ADB6-D9C93CAAB3DF}">
      <x14:dataValidations xmlns:xm="http://schemas.microsoft.com/office/excel/2006/main" xWindow="1565" yWindow="740" count="3">
        <x14:dataValidation type="list" allowBlank="1" showInputMessage="1" showErrorMessage="1" errorTitle="ERROR :/" error="ALERT:_x000a_FIll in the asset symbol. Be aware of typos. The cell will NOT accept wrong symbols._x000a_The crypto asset must be in the top 200 by market cap._x000a_INFO:_x000a_If you dont know the asset symbol then serach it up on the internet." promptTitle="Asset symbol - FILL IN" prompt="ALERT:_x000a_Fill in the asset symbol. Be aware of typos. The cell wont accept wrong symbols._x000a_INFO:_x000a_If you dont know the symbol then look at the Coingecko_API sheet and find it in the B row. " xr:uid="{BDD2C531-B1FF-427A-BA75-9B81C6B3C926}">
          <x14:formula1>
            <xm:f>Coingecko_API!$B$2:$B$202</xm:f>
          </x14:formula1>
          <xm:sqref>E8:E11</xm:sqref>
        </x14:dataValidation>
        <x14:dataValidation type="list" allowBlank="1" showInputMessage="1" showErrorMessage="1" promptTitle="Asset symbol - FILL IN" prompt="ALERT:_x000a_Fill in the asset symbol. Be aware of typos. The cell wont accept wrong symbols._x000a_INFO:_x000a_If you dont know the symbol then look at the Coingecko_API sheet and find it in the B row. " xr:uid="{B818AEF3-0E14-4579-A4F8-AAC5636A5540}">
          <x14:formula1>
            <xm:f>Coingecko_API!$B$2:$B$202</xm:f>
          </x14:formula1>
          <xm:sqref>N1</xm:sqref>
        </x14:dataValidation>
        <x14:dataValidation type="list" allowBlank="1" showInputMessage="1" showErrorMessage="1" errorTitle="ERROR :/" error="ALERT:_x000a_FIll in the asset symbol. Be aware of typos. The cell will NOT accept wrong symbols._x000a_The crypto asset must be in the top 200 by market cap._x000a_INFO:_x000a_If you dont know the asset symbol then serach it up on the internet." promptTitle="Asset symbol - FILL IN" prompt="ALERT:_x000a_Fill in the asset symbol. Be aware of typos. The cell will not accept wrong symbols._x000a_INFO:_x000a_If you do not know the asset symbol then look at the Coingecko_API sheet and find it in the B row. Euro symbol is eur." xr:uid="{C08610BF-5492-4186-90DD-788D6BF4B7E0}">
          <x14:formula1>
            <xm:f>Coingecko_API!$B$2:$B$202</xm:f>
          </x14:formula1>
          <xm:sqref>E2:E6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EED83-D9E6-4C52-BD2D-2479AC204D2E}">
  <sheetPr codeName="Sheet10">
    <tabColor theme="5" tint="0.59999389629810485"/>
  </sheetPr>
  <dimension ref="A1:S2"/>
  <sheetViews>
    <sheetView zoomScale="50" zoomScaleNormal="85" workbookViewId="0">
      <selection activeCell="M1" sqref="M1"/>
    </sheetView>
  </sheetViews>
  <sheetFormatPr defaultColWidth="18.109375" defaultRowHeight="14.4" x14ac:dyDescent="0.3"/>
  <cols>
    <col min="1" max="1" width="12.77734375" style="194" customWidth="1"/>
    <col min="2" max="2" width="21.6640625" style="195" customWidth="1"/>
    <col min="3" max="3" width="30.77734375" style="298" customWidth="1"/>
    <col min="4" max="5" width="30.77734375" style="275" customWidth="1"/>
    <col min="6" max="7" width="24.33203125" style="275" customWidth="1"/>
    <col min="8" max="8" width="24.33203125" style="276" customWidth="1"/>
    <col min="9" max="9" width="18.109375" style="277"/>
    <col min="10" max="19" width="21.6640625" style="275" customWidth="1"/>
  </cols>
  <sheetData>
    <row r="1" spans="3:19" ht="18" x14ac:dyDescent="0.3">
      <c r="C1" s="271" t="s">
        <v>0</v>
      </c>
      <c r="D1" s="272" t="s">
        <v>1128</v>
      </c>
      <c r="E1" s="272" t="s">
        <v>1129</v>
      </c>
      <c r="F1" s="272" t="s">
        <v>1100</v>
      </c>
      <c r="G1" s="272" t="s">
        <v>1101</v>
      </c>
      <c r="H1" s="273" t="s">
        <v>1127</v>
      </c>
      <c r="I1" s="274"/>
      <c r="J1" s="193" t="str" cm="1">
        <f t="array" aca="1" ref="J1" ca="1">IFERROR(INDIRECT("Portfolio_Pro!$A$7"),"")</f>
        <v>eur</v>
      </c>
      <c r="K1" s="193" t="str" cm="1">
        <f t="array" aca="1" ref="K1" ca="1">IFERROR(INDIRECT("Portfolio_Pro!$A$8"),"")</f>
        <v>btc</v>
      </c>
      <c r="L1" s="193" t="str" cm="1">
        <f t="array" aca="1" ref="L1" ca="1">IFERROR(INDIRECT("Portfolio_Pro!$A$9"),"")</f>
        <v>eth</v>
      </c>
      <c r="M1" s="193" cm="1">
        <f t="array" aca="1" ref="M1" ca="1">IFERROR(INDIRECT("Portfolio_Pro!$A$10"),"")</f>
        <v>0</v>
      </c>
      <c r="N1" s="193" cm="1">
        <f t="array" aca="1" ref="N1" ca="1">IFERROR(INDIRECT("Portfolio_Pro!$A$11"),"")</f>
        <v>0</v>
      </c>
      <c r="O1" s="193" cm="1">
        <f t="array" aca="1" ref="O1" ca="1">IFERROR(INDIRECT("Portfolio_Pro!$A$12"),"")</f>
        <v>0</v>
      </c>
      <c r="P1" s="193" cm="1">
        <f t="array" aca="1" ref="P1" ca="1">IFERROR(INDIRECT("Portfolio_Pro!$A$13"),"")</f>
        <v>0</v>
      </c>
      <c r="Q1" s="193" cm="1">
        <f t="array" aca="1" ref="Q1" ca="1">IFERROR(INDIRECT("Portfolio_Pro!$A$14"),"")</f>
        <v>0</v>
      </c>
      <c r="R1" s="193" cm="1">
        <f t="array" aca="1" ref="R1" ca="1">IFERROR(INDIRECT("Portfolio_Pro!$A$15"),"")</f>
        <v>0</v>
      </c>
      <c r="S1" s="193" cm="1">
        <f t="array" aca="1" ref="S1" ca="1">IFERROR(INDIRECT("Portfolio_Pro!$A$16"),"")</f>
        <v>0</v>
      </c>
    </row>
    <row r="2" spans="3:19" x14ac:dyDescent="0.3">
      <c r="C2" s="298">
        <v>44728.026041666664</v>
      </c>
      <c r="D2" s="334">
        <v>616.57000000000005</v>
      </c>
      <c r="E2" s="334">
        <v>60</v>
      </c>
      <c r="F2" s="334">
        <v>1000</v>
      </c>
      <c r="G2" s="334">
        <v>-383.43</v>
      </c>
      <c r="H2" s="276">
        <v>-0.38343286666666665</v>
      </c>
      <c r="J2" s="275">
        <v>1</v>
      </c>
      <c r="K2" s="275">
        <v>21500</v>
      </c>
      <c r="L2" s="275">
        <v>1173.79</v>
      </c>
      <c r="M2" s="275">
        <v>0</v>
      </c>
      <c r="N2" s="275">
        <v>0</v>
      </c>
      <c r="O2" s="275">
        <v>0</v>
      </c>
      <c r="P2" s="275">
        <v>0</v>
      </c>
      <c r="Q2" s="275">
        <v>0</v>
      </c>
      <c r="R2" s="275">
        <v>0</v>
      </c>
      <c r="S2" s="275">
        <v>0</v>
      </c>
    </row>
  </sheetData>
  <sheetProtection selectLockedCells="1" selectUnlockedCells="1"/>
  <pageMargins left="0.7" right="0.7" top="0.75" bottom="0.75" header="0.3" footer="0.3"/>
  <pageSetup paperSize="9" orientation="portrait" r:id="rId1"/>
  <headerFooter>
    <oddHeader>&amp;Rby MUSHROOM&amp;CCrypto Sheets&amp;L2022</oddHeader>
    <oddFooter>&amp;Rby MUSHROOM&amp;CCrypto Sheets&amp;L2022</oddFooter>
  </headerFooter>
  <drawing r:id="rId2"/>
  <legacyDrawing r:id="rId3"/>
  <controls>
    <mc:AlternateContent xmlns:mc="http://schemas.openxmlformats.org/markup-compatibility/2006">
      <mc:Choice Requires="x14">
        <control shapeId="9217" r:id="rId4" name="CommandButton1">
          <controlPr defaultSize="0" autoLine="0" autoPict="0" r:id="rId5">
            <anchor moveWithCells="1">
              <from>
                <xdr:col>0</xdr:col>
                <xdr:colOff>0</xdr:colOff>
                <xdr:row>0</xdr:row>
                <xdr:rowOff>0</xdr:rowOff>
              </from>
              <to>
                <xdr:col>1</xdr:col>
                <xdr:colOff>1478280</xdr:colOff>
                <xdr:row>3</xdr:row>
                <xdr:rowOff>76200</xdr:rowOff>
              </to>
            </anchor>
          </controlPr>
        </control>
      </mc:Choice>
      <mc:Fallback>
        <control shapeId="9217" r:id="rId4" name="Command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2C7D7-4F4D-40EC-BC11-1DC9F3619802}">
  <sheetPr codeName="Sheet6">
    <tabColor theme="5" tint="0.79998168889431442"/>
  </sheetPr>
  <dimension ref="A1:B3"/>
  <sheetViews>
    <sheetView workbookViewId="0">
      <selection activeCell="H4" sqref="H4"/>
    </sheetView>
  </sheetViews>
  <sheetFormatPr defaultRowHeight="14.4" x14ac:dyDescent="0.3"/>
  <cols>
    <col min="1" max="1" width="18.6640625" bestFit="1" customWidth="1"/>
    <col min="2" max="2" width="16.44140625" customWidth="1"/>
  </cols>
  <sheetData>
    <row r="1" spans="1:2" ht="25.8" x14ac:dyDescent="0.3">
      <c r="A1" s="294" t="s">
        <v>1179</v>
      </c>
      <c r="B1" s="295" t="s">
        <v>1180</v>
      </c>
    </row>
    <row r="3" spans="1:2" ht="25.8" x14ac:dyDescent="0.3">
      <c r="A3" s="294" t="s">
        <v>1181</v>
      </c>
      <c r="B3" s="296" t="s">
        <v>1180</v>
      </c>
    </row>
  </sheetData>
  <pageMargins left="0.7" right="0.7" top="0.75" bottom="0.75" header="0.3" footer="0.3"/>
  <pageSetup paperSize="9" orientation="portrait" r:id="rId1"/>
  <headerFooter>
    <oddHeader>&amp;Rby MUSHROOM&amp;CCrypto Sheets&amp;L2022</oddHeader>
    <oddFooter>&amp;Rby MUSHROOM&amp;CCrypto Sheets&amp;L2022</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B5F77-2018-49ED-AE18-2FF3D728BF9F}">
  <sheetPr codeName="Sheet5"/>
  <dimension ref="A1:AA94"/>
  <sheetViews>
    <sheetView topLeftCell="J1" zoomScale="60" zoomScaleNormal="60" workbookViewId="0">
      <selection activeCell="M24" sqref="M24"/>
    </sheetView>
  </sheetViews>
  <sheetFormatPr defaultColWidth="17.88671875" defaultRowHeight="14.4" x14ac:dyDescent="0.3"/>
  <cols>
    <col min="1" max="1" width="6.77734375" bestFit="1" customWidth="1"/>
    <col min="2" max="2" width="16" style="20" bestFit="1" customWidth="1"/>
    <col min="3" max="3" width="15.44140625" bestFit="1" customWidth="1"/>
    <col min="4" max="4" width="16" bestFit="1" customWidth="1"/>
    <col min="5" max="5" width="16.21875" bestFit="1" customWidth="1"/>
    <col min="6" max="6" width="13.77734375" bestFit="1" customWidth="1"/>
    <col min="7" max="7" width="17.5546875" bestFit="1" customWidth="1"/>
    <col min="8" max="8" width="18.44140625" bestFit="1" customWidth="1"/>
    <col min="9" max="10" width="21.44140625" bestFit="1" customWidth="1"/>
    <col min="16" max="16" width="17.88671875" style="191"/>
    <col min="27" max="27" width="21.21875" customWidth="1"/>
  </cols>
  <sheetData>
    <row r="1" spans="1:27" ht="18" x14ac:dyDescent="0.3">
      <c r="A1" t="s">
        <v>1152</v>
      </c>
      <c r="B1" s="1" t="s">
        <v>0</v>
      </c>
      <c r="C1" s="1" t="s">
        <v>1</v>
      </c>
      <c r="D1" s="1" t="s">
        <v>2</v>
      </c>
      <c r="E1" s="1" t="s">
        <v>3</v>
      </c>
      <c r="F1" s="1" t="s">
        <v>4</v>
      </c>
      <c r="G1" s="1" t="s">
        <v>5</v>
      </c>
      <c r="H1" s="1" t="s">
        <v>6</v>
      </c>
      <c r="I1" s="1" t="s">
        <v>7</v>
      </c>
      <c r="J1" s="17"/>
      <c r="K1" s="193" t="s">
        <v>1128</v>
      </c>
      <c r="L1" s="193" t="s">
        <v>1129</v>
      </c>
      <c r="M1" s="193" t="s">
        <v>1100</v>
      </c>
      <c r="N1" s="193" t="s">
        <v>1101</v>
      </c>
      <c r="O1" s="193" t="s">
        <v>1127</v>
      </c>
      <c r="P1" s="193" t="str" cm="1">
        <f t="array" aca="1" ref="P1" ca="1">IFERROR(INDIRECT("Portfolio_Pro!$A$7"),"")</f>
        <v>eur</v>
      </c>
      <c r="Q1" s="193" t="str" cm="1">
        <f t="array" aca="1" ref="Q1" ca="1">IFERROR(INDIRECT("Portfolio_Pro!$A$8"),"")</f>
        <v>btc</v>
      </c>
      <c r="R1" s="193" t="str" cm="1">
        <f t="array" aca="1" ref="R1" ca="1">IFERROR(INDIRECT("Portfolio_Pro!$A$9"),"")</f>
        <v>eth</v>
      </c>
      <c r="S1" s="193" cm="1">
        <f t="array" aca="1" ref="S1" ca="1">IFERROR(INDIRECT("Portfolio_Pro!$A$10"),"")</f>
        <v>0</v>
      </c>
      <c r="T1" s="193" cm="1">
        <f t="array" aca="1" ref="T1" ca="1">IFERROR(INDIRECT("Portfolio_Pro!$A$11"),"")</f>
        <v>0</v>
      </c>
      <c r="U1" s="193" cm="1">
        <f t="array" aca="1" ref="U1" ca="1">IFERROR(INDIRECT("Portfolio_Pro!$A$12"),"")</f>
        <v>0</v>
      </c>
      <c r="V1" s="193" cm="1">
        <f t="array" aca="1" ref="V1" ca="1">IFERROR(INDIRECT("Portfolio_Pro!$A$13"),"")</f>
        <v>0</v>
      </c>
      <c r="W1" s="193" cm="1">
        <f t="array" aca="1" ref="W1" ca="1">IFERROR(INDIRECT("Portfolio_Pro!$A$14"),"")</f>
        <v>0</v>
      </c>
      <c r="X1" s="193" cm="1">
        <f t="array" aca="1" ref="X1" ca="1">IFERROR(INDIRECT("Portfolio_Pro!$A$15"),"")</f>
        <v>0</v>
      </c>
      <c r="Y1" s="193" cm="1">
        <f t="array" aca="1" ref="Y1" ca="1">IFERROR(INDIRECT("Portfolio_Pro!$A$16"),"")</f>
        <v>0</v>
      </c>
      <c r="AA1" s="335" t="str" cm="1">
        <f t="array" aca="1" ref="AA1" ca="1">INDIRECT("Purchases!$C$4")</f>
        <v>16/1/2022 15:15</v>
      </c>
    </row>
    <row r="2" spans="1:27" x14ac:dyDescent="0.3">
      <c r="A2">
        <v>1</v>
      </c>
      <c r="B2" s="26" t="s">
        <v>1235</v>
      </c>
      <c r="C2" s="27" t="s">
        <v>9</v>
      </c>
      <c r="D2" s="27" t="s">
        <v>1093</v>
      </c>
      <c r="E2" s="28">
        <v>1000</v>
      </c>
      <c r="F2" s="29">
        <v>20</v>
      </c>
      <c r="G2" s="30">
        <v>980</v>
      </c>
      <c r="H2" s="136">
        <v>980</v>
      </c>
      <c r="I2" s="31">
        <v>1</v>
      </c>
      <c r="J2" s="243"/>
      <c r="K2" s="196">
        <f>Table02_PortfolioPro__310[[#Totals],[Current Balance]]</f>
        <v>621.16779999999994</v>
      </c>
      <c r="L2" s="197">
        <f>Table02_PortfolioPro__310[[#Totals],[Fees]]</f>
        <v>60</v>
      </c>
      <c r="M2" s="197">
        <f>Table02_PortfolioPro__310[[#Totals],[Investment]]</f>
        <v>1000</v>
      </c>
      <c r="N2" s="198">
        <f>Table02_PortfolioPro__310[[#Totals],[Profit]]</f>
        <v>-378.83220000000006</v>
      </c>
      <c r="O2" s="289">
        <f>Table02_PortfolioPro__310[[#Totals],[ROI]]</f>
        <v>-0.37883220000000006</v>
      </c>
      <c r="P2" s="199" cm="1">
        <f t="array" aca="1" ref="P2" ca="1">IFERROR(INDIRECT("Portfolio_Pro!$E$7"),"")</f>
        <v>1</v>
      </c>
      <c r="Q2" s="199" cm="1">
        <f t="array" aca="1" ref="Q2" ca="1">IFERROR(INDIRECT("Portfolio_Pro!$E$8"),"")</f>
        <v>21681</v>
      </c>
      <c r="R2" s="199" cm="1">
        <f t="array" aca="1" ref="R2" ca="1">IFERROR(INDIRECT("Portfolio_Pro!$E$9"),"")</f>
        <v>1180.99</v>
      </c>
      <c r="S2" s="199" cm="1">
        <f t="array" aca="1" ref="S2" ca="1">IFERROR(INDIRECT("Portfolio_Pro!$E$10"),"")</f>
        <v>0</v>
      </c>
      <c r="T2" s="199" cm="1">
        <f t="array" aca="1" ref="T2" ca="1">IFERROR(INDIRECT("Portfolio_Pro!$E$11"),"")</f>
        <v>0</v>
      </c>
      <c r="U2" s="199" cm="1">
        <f t="array" aca="1" ref="U2" ca="1">IFERROR(INDIRECT("Portfolio_Pro!$E$12"),"")</f>
        <v>0</v>
      </c>
      <c r="V2" s="199" cm="1">
        <f t="array" aca="1" ref="V2" ca="1">IFERROR(INDIRECT("Portfolio_Pro!$E$13"),"")</f>
        <v>0</v>
      </c>
      <c r="W2" s="199" cm="1">
        <f t="array" aca="1" ref="W2" ca="1">IFERROR(INDIRECT("Portfolio_Pro!$E$14"),"")</f>
        <v>0</v>
      </c>
      <c r="X2" s="199" cm="1">
        <f t="array" aca="1" ref="X2" ca="1">IFERROR(INDIRECT("Portfolio_Pro!$E$15"),"")</f>
        <v>0</v>
      </c>
      <c r="Y2" s="199" cm="1">
        <f t="array" aca="1" ref="Y2" ca="1">IFERROR(INDIRECT("Portfolio_Pro!$E$16"),"")</f>
        <v>0</v>
      </c>
    </row>
    <row r="3" spans="1:27" ht="15.6" x14ac:dyDescent="0.3">
      <c r="B3" s="23"/>
      <c r="C3" s="24"/>
      <c r="D3" s="24"/>
      <c r="E3" s="24"/>
      <c r="F3" s="24"/>
      <c r="G3" s="24"/>
      <c r="H3" s="25"/>
      <c r="I3" s="24"/>
      <c r="J3" s="243"/>
      <c r="K3" s="111"/>
      <c r="M3" s="148"/>
      <c r="N3" s="148"/>
      <c r="O3" s="147"/>
      <c r="P3" s="190"/>
      <c r="Q3" s="149"/>
      <c r="R3" s="150"/>
      <c r="S3" s="149"/>
      <c r="T3" s="151"/>
      <c r="U3" s="111"/>
    </row>
    <row r="4" spans="1:27" x14ac:dyDescent="0.3">
      <c r="J4" s="243"/>
      <c r="K4" s="111"/>
      <c r="S4" s="111"/>
      <c r="T4" s="111"/>
      <c r="U4" s="111"/>
    </row>
    <row r="5" spans="1:27" ht="18" x14ac:dyDescent="0.3">
      <c r="A5" t="s">
        <v>1152</v>
      </c>
      <c r="B5" s="1" t="s">
        <v>0</v>
      </c>
      <c r="C5" s="1" t="s">
        <v>1</v>
      </c>
      <c r="D5" s="1" t="s">
        <v>2</v>
      </c>
      <c r="E5" s="1" t="s">
        <v>3</v>
      </c>
      <c r="F5" s="1" t="s">
        <v>4</v>
      </c>
      <c r="G5" s="1" t="s">
        <v>5</v>
      </c>
      <c r="H5" s="21" t="s">
        <v>6</v>
      </c>
      <c r="I5" s="1" t="s">
        <v>7</v>
      </c>
      <c r="J5" s="243"/>
      <c r="K5" s="111"/>
      <c r="S5" s="111"/>
      <c r="T5" s="111"/>
      <c r="U5" s="111"/>
    </row>
    <row r="6" spans="1:27" x14ac:dyDescent="0.3">
      <c r="A6">
        <v>1</v>
      </c>
      <c r="B6" s="2">
        <v>44576.976388888892</v>
      </c>
      <c r="C6" s="133" t="s">
        <v>9</v>
      </c>
      <c r="D6" s="12" t="s">
        <v>1093</v>
      </c>
      <c r="E6" s="16">
        <v>1000</v>
      </c>
      <c r="F6" s="134">
        <v>20</v>
      </c>
      <c r="G6" s="13">
        <v>980</v>
      </c>
      <c r="H6" s="135">
        <v>980</v>
      </c>
      <c r="I6" s="13">
        <v>1</v>
      </c>
      <c r="J6" s="243"/>
      <c r="K6" s="111"/>
      <c r="S6" s="111"/>
      <c r="T6" s="111"/>
      <c r="U6" s="111"/>
    </row>
    <row r="7" spans="1:27" x14ac:dyDescent="0.3">
      <c r="B7" s="7"/>
      <c r="C7" s="18"/>
      <c r="D7" s="7"/>
      <c r="E7" s="7"/>
      <c r="F7" s="7"/>
      <c r="G7" s="7"/>
      <c r="H7" s="22"/>
      <c r="I7" s="7"/>
      <c r="J7" s="243"/>
      <c r="K7" s="111"/>
      <c r="S7" s="111"/>
      <c r="T7" s="111"/>
      <c r="U7" s="111"/>
    </row>
    <row r="8" spans="1:27" x14ac:dyDescent="0.3">
      <c r="B8" s="192"/>
      <c r="C8" s="189"/>
      <c r="D8" s="189"/>
      <c r="J8" s="243"/>
      <c r="K8" s="111"/>
    </row>
    <row r="9" spans="1:27" x14ac:dyDescent="0.3">
      <c r="A9" s="189"/>
      <c r="B9" s="19"/>
      <c r="C9" s="10"/>
      <c r="J9" s="243"/>
      <c r="K9" s="111"/>
    </row>
    <row r="10" spans="1:27" x14ac:dyDescent="0.3">
      <c r="A10" s="9"/>
      <c r="B10" s="19"/>
      <c r="C10" s="10"/>
      <c r="J10" s="243"/>
      <c r="K10" s="111"/>
    </row>
    <row r="11" spans="1:27" x14ac:dyDescent="0.3">
      <c r="A11" s="9"/>
      <c r="B11" s="19"/>
      <c r="C11" s="10"/>
      <c r="J11" s="243"/>
      <c r="K11" s="111"/>
    </row>
    <row r="12" spans="1:27" x14ac:dyDescent="0.3">
      <c r="A12" s="9"/>
      <c r="B12" s="19"/>
      <c r="C12" s="10"/>
      <c r="J12" s="243"/>
      <c r="K12" s="111"/>
    </row>
    <row r="13" spans="1:27" x14ac:dyDescent="0.3">
      <c r="A13" s="9"/>
      <c r="B13" s="19"/>
      <c r="C13" s="10"/>
      <c r="J13" s="243"/>
      <c r="K13" s="111"/>
    </row>
    <row r="14" spans="1:27" x14ac:dyDescent="0.3">
      <c r="A14" s="9"/>
      <c r="B14" s="19"/>
      <c r="C14" s="10"/>
      <c r="J14" s="243"/>
      <c r="K14" s="111"/>
    </row>
    <row r="15" spans="1:27" x14ac:dyDescent="0.3">
      <c r="A15" s="9"/>
      <c r="B15" s="19"/>
      <c r="C15" s="10"/>
      <c r="J15" s="243"/>
      <c r="K15" s="111"/>
    </row>
    <row r="16" spans="1:27" x14ac:dyDescent="0.3">
      <c r="A16" s="9"/>
      <c r="B16" s="19"/>
      <c r="C16" s="10"/>
      <c r="J16" s="243"/>
      <c r="K16" s="111"/>
    </row>
    <row r="17" spans="1:13" x14ac:dyDescent="0.3">
      <c r="A17" s="9"/>
      <c r="B17" s="19"/>
      <c r="C17" s="10"/>
      <c r="J17" s="243"/>
      <c r="K17" s="111"/>
    </row>
    <row r="18" spans="1:13" x14ac:dyDescent="0.3">
      <c r="A18" s="9"/>
      <c r="B18" s="19"/>
      <c r="C18" s="10"/>
      <c r="J18" s="243"/>
      <c r="K18" s="111"/>
      <c r="L18" s="237"/>
      <c r="M18" s="237"/>
    </row>
    <row r="19" spans="1:13" ht="18" x14ac:dyDescent="0.3">
      <c r="A19" s="9"/>
      <c r="B19" s="19"/>
      <c r="C19" s="10"/>
      <c r="J19" s="244"/>
      <c r="K19" s="238"/>
      <c r="L19" s="111"/>
      <c r="M19" s="237"/>
    </row>
    <row r="20" spans="1:13" x14ac:dyDescent="0.3">
      <c r="A20" s="9"/>
      <c r="B20" s="19"/>
      <c r="C20" s="10"/>
      <c r="J20" s="111"/>
      <c r="K20" s="239"/>
      <c r="L20" s="111"/>
      <c r="M20" s="237"/>
    </row>
    <row r="21" spans="1:13" x14ac:dyDescent="0.3">
      <c r="A21" s="9"/>
      <c r="B21" s="19"/>
      <c r="C21" s="10"/>
      <c r="J21" s="111"/>
      <c r="K21" s="239"/>
      <c r="L21" s="111"/>
      <c r="M21" s="237"/>
    </row>
    <row r="22" spans="1:13" x14ac:dyDescent="0.3">
      <c r="A22" s="9"/>
      <c r="B22" s="19"/>
      <c r="C22" s="10"/>
      <c r="J22" s="111"/>
      <c r="K22" s="239"/>
      <c r="L22" s="111"/>
      <c r="M22" s="237"/>
    </row>
    <row r="23" spans="1:13" x14ac:dyDescent="0.3">
      <c r="A23" s="9"/>
      <c r="B23" s="19"/>
      <c r="C23" s="10"/>
      <c r="J23" s="111"/>
      <c r="K23" s="239"/>
      <c r="L23" s="111"/>
      <c r="M23" s="237"/>
    </row>
    <row r="24" spans="1:13" x14ac:dyDescent="0.3">
      <c r="A24" s="9"/>
      <c r="B24" s="19"/>
      <c r="C24" s="10"/>
      <c r="J24" s="111"/>
      <c r="K24" s="239"/>
      <c r="L24" s="111"/>
      <c r="M24" s="237"/>
    </row>
    <row r="25" spans="1:13" x14ac:dyDescent="0.3">
      <c r="A25" s="9"/>
      <c r="B25" s="19"/>
      <c r="C25" s="10"/>
      <c r="J25" s="111"/>
      <c r="K25" s="239"/>
      <c r="L25" s="111"/>
      <c r="M25" s="237"/>
    </row>
    <row r="26" spans="1:13" x14ac:dyDescent="0.3">
      <c r="A26" s="9"/>
      <c r="B26" s="19"/>
      <c r="C26" s="10"/>
      <c r="K26" s="239"/>
      <c r="L26" s="111"/>
      <c r="M26" s="237"/>
    </row>
    <row r="27" spans="1:13" x14ac:dyDescent="0.3">
      <c r="A27" s="9"/>
      <c r="B27" s="19"/>
      <c r="C27" s="10"/>
      <c r="K27" s="239"/>
      <c r="L27" s="111"/>
      <c r="M27" s="237"/>
    </row>
    <row r="28" spans="1:13" x14ac:dyDescent="0.3">
      <c r="A28" s="9"/>
      <c r="B28" s="19"/>
      <c r="C28" s="10"/>
      <c r="K28" s="239"/>
      <c r="L28" s="111"/>
      <c r="M28" s="237"/>
    </row>
    <row r="29" spans="1:13" x14ac:dyDescent="0.3">
      <c r="A29" s="9"/>
      <c r="B29" s="19"/>
      <c r="C29" s="10"/>
      <c r="K29" s="239"/>
      <c r="L29" s="111"/>
      <c r="M29" s="237"/>
    </row>
    <row r="30" spans="1:13" x14ac:dyDescent="0.3">
      <c r="A30" s="9"/>
      <c r="B30" s="19"/>
      <c r="C30" s="10"/>
      <c r="K30" s="239"/>
      <c r="L30" s="111"/>
      <c r="M30" s="237"/>
    </row>
    <row r="31" spans="1:13" x14ac:dyDescent="0.3">
      <c r="A31" s="9"/>
      <c r="B31" s="19"/>
      <c r="C31" s="10"/>
      <c r="K31" s="239"/>
      <c r="L31" s="111"/>
      <c r="M31" s="237"/>
    </row>
    <row r="32" spans="1:13" x14ac:dyDescent="0.3">
      <c r="A32" s="9"/>
      <c r="B32" s="19"/>
      <c r="C32" s="10"/>
      <c r="K32" s="239"/>
      <c r="L32" s="111"/>
      <c r="M32" s="237"/>
    </row>
    <row r="33" spans="1:14" x14ac:dyDescent="0.3">
      <c r="A33" s="9"/>
      <c r="B33" s="19"/>
      <c r="C33" s="10"/>
      <c r="K33" s="239"/>
      <c r="L33" s="111"/>
      <c r="M33" s="240"/>
    </row>
    <row r="34" spans="1:14" x14ac:dyDescent="0.3">
      <c r="A34" s="9"/>
      <c r="B34" s="19"/>
      <c r="C34" s="10"/>
      <c r="K34" s="239"/>
      <c r="L34" s="111"/>
      <c r="M34" s="237"/>
    </row>
    <row r="35" spans="1:14" x14ac:dyDescent="0.3">
      <c r="A35" s="9"/>
      <c r="B35" s="19"/>
      <c r="C35" s="10"/>
      <c r="K35" s="239"/>
      <c r="L35" s="111"/>
      <c r="M35" s="237"/>
    </row>
    <row r="36" spans="1:14" x14ac:dyDescent="0.3">
      <c r="A36" s="9"/>
      <c r="B36" s="19"/>
      <c r="C36" s="10"/>
      <c r="K36" s="239"/>
      <c r="L36" s="111"/>
      <c r="M36" s="237"/>
    </row>
    <row r="37" spans="1:14" x14ac:dyDescent="0.3">
      <c r="A37" s="9"/>
      <c r="B37" s="19"/>
      <c r="C37" s="10"/>
      <c r="K37" s="239"/>
      <c r="L37" s="111"/>
      <c r="M37" s="237"/>
    </row>
    <row r="38" spans="1:14" x14ac:dyDescent="0.3">
      <c r="A38" s="9"/>
      <c r="B38" s="19"/>
      <c r="C38" s="10"/>
      <c r="K38" s="239"/>
      <c r="L38" s="111"/>
      <c r="M38" s="237"/>
    </row>
    <row r="39" spans="1:14" x14ac:dyDescent="0.3">
      <c r="A39" s="9"/>
      <c r="B39" s="19"/>
      <c r="C39" s="10"/>
      <c r="K39" s="239"/>
      <c r="L39" s="111"/>
      <c r="M39" s="237"/>
    </row>
    <row r="40" spans="1:14" x14ac:dyDescent="0.3">
      <c r="A40" s="9"/>
      <c r="B40" s="19"/>
      <c r="C40" s="10"/>
      <c r="K40" s="239"/>
      <c r="L40" s="111"/>
      <c r="M40" s="237"/>
    </row>
    <row r="41" spans="1:14" x14ac:dyDescent="0.3">
      <c r="A41" s="9"/>
      <c r="B41" s="19"/>
      <c r="C41" s="10"/>
      <c r="K41" s="239"/>
      <c r="L41" s="111"/>
      <c r="M41" s="241"/>
      <c r="N41" s="11"/>
    </row>
    <row r="42" spans="1:14" x14ac:dyDescent="0.3">
      <c r="A42" s="9"/>
      <c r="B42" s="19"/>
      <c r="C42" s="10"/>
      <c r="K42" s="239"/>
      <c r="L42" s="111"/>
      <c r="M42" s="237"/>
    </row>
    <row r="43" spans="1:14" x14ac:dyDescent="0.3">
      <c r="A43" s="9"/>
      <c r="B43" s="19"/>
      <c r="C43" s="10"/>
      <c r="K43" s="239"/>
      <c r="L43" s="111"/>
      <c r="M43" s="237"/>
    </row>
    <row r="44" spans="1:14" x14ac:dyDescent="0.3">
      <c r="A44" s="9"/>
      <c r="B44" s="19"/>
      <c r="C44" s="10"/>
      <c r="K44" s="242"/>
      <c r="L44" s="111"/>
      <c r="M44" s="237"/>
    </row>
    <row r="45" spans="1:14" x14ac:dyDescent="0.3">
      <c r="A45" s="9"/>
      <c r="B45" s="19"/>
      <c r="C45" s="10"/>
      <c r="K45" s="111"/>
      <c r="L45" s="111"/>
      <c r="M45" s="237"/>
    </row>
    <row r="46" spans="1:14" x14ac:dyDescent="0.3">
      <c r="A46" s="9"/>
      <c r="B46" s="19"/>
      <c r="C46" s="10"/>
      <c r="K46" s="111"/>
      <c r="L46" s="111"/>
      <c r="M46" s="237"/>
    </row>
    <row r="47" spans="1:14" x14ac:dyDescent="0.3">
      <c r="A47" s="9"/>
      <c r="B47" s="19"/>
      <c r="C47" s="10"/>
      <c r="K47" s="111"/>
      <c r="L47" s="111"/>
      <c r="M47" s="237"/>
    </row>
    <row r="48" spans="1:14" x14ac:dyDescent="0.3">
      <c r="A48" s="9"/>
      <c r="B48" s="19"/>
      <c r="C48" s="10"/>
      <c r="K48" s="111"/>
      <c r="L48" s="111"/>
      <c r="M48" s="237"/>
    </row>
    <row r="49" spans="1:13" x14ac:dyDescent="0.3">
      <c r="A49" s="9"/>
      <c r="B49" s="19"/>
      <c r="C49" s="10"/>
      <c r="K49" s="111"/>
      <c r="L49" s="111"/>
      <c r="M49" s="237"/>
    </row>
    <row r="50" spans="1:13" x14ac:dyDescent="0.3">
      <c r="A50" s="9"/>
      <c r="B50" s="19"/>
      <c r="C50" s="10"/>
      <c r="K50" s="111"/>
      <c r="L50" s="111"/>
      <c r="M50" s="237"/>
    </row>
    <row r="51" spans="1:13" x14ac:dyDescent="0.3">
      <c r="A51" s="9"/>
      <c r="B51" s="19"/>
      <c r="C51" s="10"/>
      <c r="K51" s="3"/>
      <c r="L51" s="3"/>
    </row>
    <row r="52" spans="1:13" x14ac:dyDescent="0.3">
      <c r="A52" s="9"/>
      <c r="B52" s="19"/>
      <c r="C52" s="10"/>
      <c r="K52" s="3"/>
      <c r="L52" s="3"/>
    </row>
    <row r="53" spans="1:13" x14ac:dyDescent="0.3">
      <c r="A53" s="9"/>
      <c r="B53" s="19"/>
      <c r="C53" s="10"/>
    </row>
    <row r="54" spans="1:13" x14ac:dyDescent="0.3">
      <c r="A54" s="9"/>
      <c r="B54" s="19"/>
      <c r="C54" s="10"/>
    </row>
    <row r="55" spans="1:13" x14ac:dyDescent="0.3">
      <c r="A55" s="9"/>
      <c r="B55" s="19"/>
      <c r="C55" s="10"/>
    </row>
    <row r="56" spans="1:13" x14ac:dyDescent="0.3">
      <c r="A56" s="9"/>
      <c r="B56" s="19"/>
      <c r="C56" s="10"/>
    </row>
    <row r="57" spans="1:13" x14ac:dyDescent="0.3">
      <c r="A57" s="9"/>
      <c r="B57" s="19"/>
      <c r="C57" s="10"/>
    </row>
    <row r="58" spans="1:13" x14ac:dyDescent="0.3">
      <c r="A58" s="9"/>
      <c r="B58" s="19"/>
      <c r="C58" s="10"/>
    </row>
    <row r="59" spans="1:13" x14ac:dyDescent="0.3">
      <c r="A59" s="9"/>
      <c r="B59" s="19"/>
      <c r="C59" s="10"/>
    </row>
    <row r="60" spans="1:13" x14ac:dyDescent="0.3">
      <c r="A60" s="9"/>
      <c r="B60" s="19"/>
      <c r="C60" s="10"/>
    </row>
    <row r="61" spans="1:13" x14ac:dyDescent="0.3">
      <c r="A61" s="9"/>
      <c r="B61" s="19"/>
      <c r="C61" s="10"/>
    </row>
    <row r="62" spans="1:13" x14ac:dyDescent="0.3">
      <c r="A62" s="9"/>
      <c r="B62" s="19"/>
      <c r="C62" s="10"/>
    </row>
    <row r="63" spans="1:13" x14ac:dyDescent="0.3">
      <c r="A63" s="9"/>
      <c r="B63" s="19"/>
      <c r="C63" s="10"/>
    </row>
    <row r="64" spans="1:13" x14ac:dyDescent="0.3">
      <c r="A64" s="9"/>
      <c r="B64" s="19"/>
      <c r="C64" s="10"/>
    </row>
    <row r="65" spans="1:3" x14ac:dyDescent="0.3">
      <c r="A65" s="9"/>
      <c r="B65" s="19"/>
      <c r="C65" s="10"/>
    </row>
    <row r="66" spans="1:3" x14ac:dyDescent="0.3">
      <c r="A66" s="9"/>
      <c r="B66" s="19"/>
      <c r="C66" s="10"/>
    </row>
    <row r="67" spans="1:3" x14ac:dyDescent="0.3">
      <c r="A67" s="9"/>
      <c r="B67" s="19"/>
      <c r="C67" s="10"/>
    </row>
    <row r="68" spans="1:3" x14ac:dyDescent="0.3">
      <c r="A68" s="9"/>
      <c r="B68" s="19"/>
      <c r="C68" s="10"/>
    </row>
    <row r="69" spans="1:3" x14ac:dyDescent="0.3">
      <c r="A69" s="9"/>
      <c r="B69" s="19"/>
      <c r="C69" s="10"/>
    </row>
    <row r="70" spans="1:3" x14ac:dyDescent="0.3">
      <c r="A70" s="9"/>
      <c r="B70" s="19"/>
      <c r="C70" s="10"/>
    </row>
    <row r="71" spans="1:3" x14ac:dyDescent="0.3">
      <c r="A71" s="9"/>
      <c r="B71" s="19"/>
      <c r="C71" s="10"/>
    </row>
    <row r="72" spans="1:3" x14ac:dyDescent="0.3">
      <c r="A72" s="9"/>
      <c r="B72" s="19"/>
      <c r="C72" s="10"/>
    </row>
    <row r="73" spans="1:3" x14ac:dyDescent="0.3">
      <c r="A73" s="9"/>
      <c r="B73" s="19"/>
      <c r="C73" s="10"/>
    </row>
    <row r="74" spans="1:3" x14ac:dyDescent="0.3">
      <c r="A74" s="9"/>
      <c r="B74" s="19"/>
      <c r="C74" s="10"/>
    </row>
    <row r="75" spans="1:3" x14ac:dyDescent="0.3">
      <c r="A75" s="9"/>
      <c r="B75" s="19"/>
      <c r="C75" s="10"/>
    </row>
    <row r="76" spans="1:3" x14ac:dyDescent="0.3">
      <c r="A76" s="9"/>
      <c r="B76" s="19"/>
      <c r="C76" s="10"/>
    </row>
    <row r="77" spans="1:3" x14ac:dyDescent="0.3">
      <c r="A77" s="9"/>
      <c r="B77" s="19"/>
      <c r="C77" s="10"/>
    </row>
    <row r="78" spans="1:3" x14ac:dyDescent="0.3">
      <c r="A78" s="9"/>
      <c r="B78" s="19"/>
      <c r="C78" s="10"/>
    </row>
    <row r="79" spans="1:3" x14ac:dyDescent="0.3">
      <c r="A79" s="9"/>
      <c r="B79" s="19"/>
      <c r="C79" s="10"/>
    </row>
    <row r="80" spans="1:3" x14ac:dyDescent="0.3">
      <c r="A80" s="9"/>
      <c r="B80" s="19"/>
      <c r="C80" s="10"/>
    </row>
    <row r="81" spans="1:3" x14ac:dyDescent="0.3">
      <c r="A81" s="9"/>
      <c r="B81" s="19"/>
      <c r="C81" s="10"/>
    </row>
    <row r="82" spans="1:3" x14ac:dyDescent="0.3">
      <c r="A82" s="9"/>
      <c r="B82" s="19"/>
      <c r="C82" s="10"/>
    </row>
    <row r="83" spans="1:3" x14ac:dyDescent="0.3">
      <c r="A83" s="9"/>
      <c r="B83" s="19"/>
      <c r="C83" s="10"/>
    </row>
    <row r="84" spans="1:3" x14ac:dyDescent="0.3">
      <c r="A84" s="9"/>
      <c r="B84" s="19"/>
      <c r="C84" s="10"/>
    </row>
    <row r="85" spans="1:3" x14ac:dyDescent="0.3">
      <c r="A85" s="9"/>
      <c r="B85" s="19"/>
      <c r="C85" s="10"/>
    </row>
    <row r="86" spans="1:3" x14ac:dyDescent="0.3">
      <c r="A86" s="9"/>
      <c r="B86" s="19"/>
      <c r="C86" s="10"/>
    </row>
    <row r="87" spans="1:3" x14ac:dyDescent="0.3">
      <c r="A87" s="9"/>
      <c r="B87" s="19"/>
      <c r="C87" s="10"/>
    </row>
    <row r="88" spans="1:3" x14ac:dyDescent="0.3">
      <c r="A88" s="9"/>
      <c r="B88" s="19"/>
      <c r="C88" s="10"/>
    </row>
    <row r="89" spans="1:3" x14ac:dyDescent="0.3">
      <c r="A89" s="9"/>
      <c r="B89" s="19"/>
      <c r="C89" s="10"/>
    </row>
    <row r="90" spans="1:3" x14ac:dyDescent="0.3">
      <c r="A90" s="9"/>
      <c r="B90" s="19"/>
      <c r="C90" s="10"/>
    </row>
    <row r="91" spans="1:3" x14ac:dyDescent="0.3">
      <c r="A91" s="9"/>
      <c r="B91" s="19"/>
      <c r="C91" s="10"/>
    </row>
    <row r="92" spans="1:3" x14ac:dyDescent="0.3">
      <c r="A92" s="9"/>
      <c r="B92" s="19"/>
      <c r="C92" s="10"/>
    </row>
    <row r="93" spans="1:3" x14ac:dyDescent="0.3">
      <c r="A93" s="9"/>
      <c r="B93" s="19"/>
      <c r="C93" s="10"/>
    </row>
    <row r="94" spans="1:3" x14ac:dyDescent="0.3">
      <c r="A94" s="9"/>
      <c r="B94" s="19"/>
      <c r="C94" s="10"/>
    </row>
  </sheetData>
  <conditionalFormatting sqref="K20:K40 E5:I6 E1:H2">
    <cfRule type="cellIs" dxfId="93" priority="740" operator="lessThan">
      <formula>0</formula>
    </cfRule>
  </conditionalFormatting>
  <conditionalFormatting sqref="D5:D6 D1:D2">
    <cfRule type="containsText" dxfId="92" priority="728" operator="containsText" text="BTC">
      <formula>NOT(ISERROR(SEARCH("BTC",D1)))</formula>
    </cfRule>
    <cfRule type="containsText" dxfId="91" priority="734" operator="containsText" text="XRP">
      <formula>NOT(ISERROR(SEARCH("XRP",D1)))</formula>
    </cfRule>
    <cfRule type="containsText" dxfId="90" priority="735" operator="containsText" text="ADA">
      <formula>NOT(ISERROR(SEARCH("ADA",D1)))</formula>
    </cfRule>
    <cfRule type="containsText" dxfId="89" priority="736" operator="containsText" text="ETH">
      <formula>NOT(ISERROR(SEARCH("ETH",D1)))</formula>
    </cfRule>
    <cfRule type="containsText" dxfId="88" priority="737" operator="containsText" text="DOGE">
      <formula>NOT(ISERROR(SEARCH("DOGE",D1)))</formula>
    </cfRule>
    <cfRule type="containsText" dxfId="87" priority="738" operator="containsText" text="EUR">
      <formula>NOT(ISERROR(SEARCH("EUR",D1)))</formula>
    </cfRule>
  </conditionalFormatting>
  <conditionalFormatting sqref="C5:C6 C1:C2">
    <cfRule type="containsText" dxfId="86" priority="729" operator="containsText" text="withdrawal">
      <formula>NOT(ISERROR(SEARCH("withdrawal",C1)))</formula>
    </cfRule>
    <cfRule type="containsText" dxfId="85" priority="730" operator="containsText" text="trade">
      <formula>NOT(ISERROR(SEARCH("trade",C1)))</formula>
    </cfRule>
    <cfRule type="containsText" dxfId="84" priority="731" operator="containsText" text="receive">
      <formula>NOT(ISERROR(SEARCH("receive",C1)))</formula>
    </cfRule>
    <cfRule type="containsText" dxfId="83" priority="732" operator="containsText" text="spend">
      <formula>NOT(ISERROR(SEARCH("spend",C1)))</formula>
    </cfRule>
    <cfRule type="containsText" dxfId="82" priority="733" operator="containsText" text="deposit">
      <formula>NOT(ISERROR(SEARCH("deposit",C1)))</formula>
    </cfRule>
  </conditionalFormatting>
  <conditionalFormatting sqref="T3">
    <cfRule type="cellIs" dxfId="81" priority="4" operator="greaterThan">
      <formula>0</formula>
    </cfRule>
  </conditionalFormatting>
  <conditionalFormatting sqref="T3">
    <cfRule type="containsBlanks" dxfId="80" priority="3">
      <formula>LEN(TRIM(T3))=0</formula>
    </cfRule>
  </conditionalFormatting>
  <dataValidations disablePrompts="1" count="2">
    <dataValidation allowBlank="1" showInputMessage="1" showErrorMessage="1" promptTitle="%change - AUTOFILL" prompt="ALERT: _x000a_This cell is filled out automatically. Do not type in it._x000a_INFO: _x000a_The % of change of the crypto asset price. From specified date till now." sqref="T3" xr:uid="{810D47BD-6774-4C0C-9A6F-D254E04F63F2}"/>
    <dataValidation allowBlank="1" showInputMessage="1" showErrorMessage="1" promptTitle="Coin value - FILL IN" prompt="ALERT:_x000a_Fill in the price per one coin._x000a_INFO: _x000a_If the &quot;Asset&quot; is &quot;eur&quot;, then its laways 1. (1eur=1eur)_x000a_If the &quot;Asset&quot; is a crypto coin, then its the price of the coin in that specific time." sqref="S3" xr:uid="{1CE6BDDA-6AEF-443B-85F7-BC5F2BF98BC9}"/>
  </dataValidations>
  <pageMargins left="0.7" right="0.7" top="0.75" bottom="0.75" header="0.3" footer="0.3"/>
  <pageSetup paperSize="9" orientation="portrait" r:id="rId1"/>
  <headerFooter>
    <oddHeader>&amp;Rby MUSHROOM&amp;CCrypto Sheets&amp;L2022</oddHeader>
    <oddFooter>&amp;Rby MUSHROOM&amp;CCrypto Sheets&amp;L2022</oddFooter>
  </headerFooter>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B970A-3F50-4AF1-A6D3-E4E9E17D8025}">
  <sheetPr codeName="Sheet4"/>
  <dimension ref="A1:AC202"/>
  <sheetViews>
    <sheetView zoomScale="50" zoomScaleNormal="50" workbookViewId="0"/>
  </sheetViews>
  <sheetFormatPr defaultRowHeight="14.4" x14ac:dyDescent="0.3"/>
  <cols>
    <col min="1" max="1" width="26.5546875" customWidth="1"/>
    <col min="2" max="2" width="20.109375" bestFit="1" customWidth="1"/>
    <col min="3" max="3" width="20.77734375" bestFit="1" customWidth="1"/>
    <col min="4" max="4" width="80.88671875" bestFit="1" customWidth="1"/>
    <col min="5" max="5" width="25.6640625" bestFit="1" customWidth="1"/>
    <col min="6" max="6" width="23.6640625" bestFit="1" customWidth="1"/>
    <col min="7" max="7" width="28.33203125" customWidth="1"/>
    <col min="8" max="8" width="33.6640625" bestFit="1" customWidth="1"/>
    <col min="9" max="9" width="25.21875" bestFit="1" customWidth="1"/>
    <col min="10" max="10" width="21.88671875" bestFit="1" customWidth="1"/>
    <col min="11" max="11" width="21.44140625" bestFit="1" customWidth="1"/>
    <col min="12" max="12" width="29.88671875" bestFit="1" customWidth="1"/>
    <col min="13" max="13" width="40.77734375" bestFit="1" customWidth="1"/>
    <col min="14" max="14" width="35.44140625" bestFit="1" customWidth="1"/>
    <col min="15" max="15" width="46.33203125" bestFit="1" customWidth="1"/>
    <col min="16" max="16" width="29.44140625" bestFit="1" customWidth="1"/>
    <col min="17" max="17" width="24.5546875" bestFit="1" customWidth="1"/>
    <col min="18" max="18" width="24.109375" bestFit="1" customWidth="1"/>
    <col min="19" max="19" width="16.5546875" bestFit="1" customWidth="1"/>
    <col min="20" max="20" width="34.77734375" bestFit="1" customWidth="1"/>
    <col min="21" max="21" width="25.44140625" bestFit="1" customWidth="1"/>
    <col min="22" max="22" width="15.88671875" bestFit="1" customWidth="1"/>
    <col min="23" max="23" width="34.109375" bestFit="1" customWidth="1"/>
    <col min="24" max="24" width="25.44140625" bestFit="1" customWidth="1"/>
    <col min="25" max="25" width="16.109375" bestFit="1" customWidth="1"/>
    <col min="26" max="26" width="25.44140625" bestFit="1" customWidth="1"/>
    <col min="27" max="27" width="50.77734375" bestFit="1" customWidth="1"/>
    <col min="28" max="28" width="50.5546875" bestFit="1" customWidth="1"/>
    <col min="29" max="29" width="52.109375" bestFit="1" customWidth="1"/>
  </cols>
  <sheetData>
    <row r="1" spans="1:29" x14ac:dyDescent="0.3">
      <c r="A1" t="s">
        <v>14</v>
      </c>
      <c r="B1" t="s">
        <v>15</v>
      </c>
      <c r="C1" t="s">
        <v>16</v>
      </c>
      <c r="D1" t="s">
        <v>17</v>
      </c>
      <c r="E1" t="s">
        <v>18</v>
      </c>
      <c r="F1" t="s">
        <v>19</v>
      </c>
      <c r="G1" t="s">
        <v>20</v>
      </c>
      <c r="H1" t="s">
        <v>21</v>
      </c>
      <c r="I1" t="s">
        <v>22</v>
      </c>
      <c r="J1" t="s">
        <v>23</v>
      </c>
      <c r="K1" t="s">
        <v>24</v>
      </c>
      <c r="L1" t="s">
        <v>25</v>
      </c>
      <c r="M1" t="s">
        <v>26</v>
      </c>
      <c r="N1" t="s">
        <v>27</v>
      </c>
      <c r="O1" t="s">
        <v>28</v>
      </c>
      <c r="P1" t="s">
        <v>29</v>
      </c>
      <c r="Q1" t="s">
        <v>30</v>
      </c>
      <c r="R1" t="s">
        <v>31</v>
      </c>
      <c r="S1" t="s">
        <v>32</v>
      </c>
      <c r="T1" t="s">
        <v>33</v>
      </c>
      <c r="U1" t="s">
        <v>34</v>
      </c>
      <c r="V1" t="s">
        <v>35</v>
      </c>
      <c r="W1" t="s">
        <v>36</v>
      </c>
      <c r="X1" t="s">
        <v>37</v>
      </c>
      <c r="Y1" t="s">
        <v>38</v>
      </c>
      <c r="Z1" t="s">
        <v>39</v>
      </c>
      <c r="AA1" t="s">
        <v>40</v>
      </c>
      <c r="AB1" t="s">
        <v>41</v>
      </c>
      <c r="AC1" t="s">
        <v>42</v>
      </c>
    </row>
    <row r="2" spans="1:29" x14ac:dyDescent="0.3">
      <c r="A2" t="s">
        <v>43</v>
      </c>
      <c r="B2" t="s">
        <v>44</v>
      </c>
      <c r="C2" t="s">
        <v>45</v>
      </c>
      <c r="D2" t="s">
        <v>46</v>
      </c>
      <c r="E2">
        <v>21681</v>
      </c>
      <c r="F2">
        <v>412556914275</v>
      </c>
      <c r="G2">
        <v>1</v>
      </c>
      <c r="H2">
        <v>454343848329</v>
      </c>
      <c r="I2">
        <v>50440742247</v>
      </c>
      <c r="J2">
        <v>21688</v>
      </c>
      <c r="K2">
        <v>19260.810000000001</v>
      </c>
      <c r="L2">
        <v>1012.59</v>
      </c>
      <c r="M2">
        <v>4.8992300000000002</v>
      </c>
      <c r="N2">
        <v>17741631077</v>
      </c>
      <c r="O2">
        <v>4.4936499999999997</v>
      </c>
      <c r="P2">
        <v>19068587</v>
      </c>
      <c r="Q2">
        <v>21000000</v>
      </c>
      <c r="R2">
        <v>21000000</v>
      </c>
      <c r="S2">
        <v>59717</v>
      </c>
      <c r="T2">
        <v>-63.964179999999999</v>
      </c>
      <c r="U2" t="s">
        <v>47</v>
      </c>
      <c r="V2">
        <v>51.3</v>
      </c>
      <c r="W2">
        <v>41849.543019999997</v>
      </c>
      <c r="X2" t="s">
        <v>48</v>
      </c>
      <c r="Z2" t="s">
        <v>1247</v>
      </c>
      <c r="AA2">
        <v>3.0176435735292442</v>
      </c>
      <c r="AB2">
        <v>-35.298178189690574</v>
      </c>
      <c r="AC2">
        <v>-27.980936414116918</v>
      </c>
    </row>
    <row r="3" spans="1:29" x14ac:dyDescent="0.3">
      <c r="A3" t="s">
        <v>49</v>
      </c>
      <c r="B3" t="s">
        <v>50</v>
      </c>
      <c r="C3" t="s">
        <v>51</v>
      </c>
      <c r="D3" t="s">
        <v>52</v>
      </c>
      <c r="E3">
        <v>1180.99</v>
      </c>
      <c r="F3">
        <v>143168653461</v>
      </c>
      <c r="G3">
        <v>2</v>
      </c>
      <c r="I3">
        <v>38158910619</v>
      </c>
      <c r="J3">
        <v>1185</v>
      </c>
      <c r="K3">
        <v>976.31</v>
      </c>
      <c r="L3">
        <v>56.11</v>
      </c>
      <c r="M3">
        <v>4.9880399999999998</v>
      </c>
      <c r="N3">
        <v>6452029867</v>
      </c>
      <c r="O3">
        <v>4.7192699999999999</v>
      </c>
      <c r="P3">
        <v>121185806.249</v>
      </c>
      <c r="S3">
        <v>4228.93</v>
      </c>
      <c r="T3">
        <v>-72.074569999999994</v>
      </c>
      <c r="U3" t="s">
        <v>53</v>
      </c>
      <c r="V3">
        <v>0.38145499999999999</v>
      </c>
      <c r="W3">
        <v>309489.84136000002</v>
      </c>
      <c r="X3" t="s">
        <v>54</v>
      </c>
      <c r="Y3" t="s">
        <v>55</v>
      </c>
      <c r="Z3" t="s">
        <v>1248</v>
      </c>
      <c r="AA3">
        <v>2.7027182501190929</v>
      </c>
      <c r="AB3">
        <v>-44.667777615934902</v>
      </c>
      <c r="AC3">
        <v>-42.775231986254227</v>
      </c>
    </row>
    <row r="4" spans="1:29" x14ac:dyDescent="0.3">
      <c r="A4" t="s">
        <v>56</v>
      </c>
      <c r="B4" t="s">
        <v>57</v>
      </c>
      <c r="C4" t="s">
        <v>58</v>
      </c>
      <c r="D4" t="s">
        <v>59</v>
      </c>
      <c r="E4">
        <v>0.95781499999999997</v>
      </c>
      <c r="F4">
        <v>67863585182</v>
      </c>
      <c r="G4">
        <v>3</v>
      </c>
      <c r="I4">
        <v>82435057409</v>
      </c>
      <c r="J4">
        <v>0.98865199999999998</v>
      </c>
      <c r="K4">
        <v>0.94783499999999998</v>
      </c>
      <c r="L4">
        <v>-7.9022022051644701E-4</v>
      </c>
      <c r="M4">
        <v>-8.2430000000000003E-2</v>
      </c>
      <c r="N4">
        <v>-909517550.29999542</v>
      </c>
      <c r="O4">
        <v>-1.3224899999999999</v>
      </c>
      <c r="P4">
        <v>70870514673.515793</v>
      </c>
      <c r="Q4">
        <v>70870514673.515793</v>
      </c>
      <c r="S4">
        <v>1.1299999999999999</v>
      </c>
      <c r="T4">
        <v>-15.18516</v>
      </c>
      <c r="U4" t="s">
        <v>60</v>
      </c>
      <c r="V4">
        <v>0.53309600000000001</v>
      </c>
      <c r="W4">
        <v>80.036100000000005</v>
      </c>
      <c r="X4" t="s">
        <v>61</v>
      </c>
      <c r="Z4" t="s">
        <v>1249</v>
      </c>
      <c r="AA4">
        <v>-9.1889433755820274E-2</v>
      </c>
      <c r="AB4">
        <v>15.971745496458212</v>
      </c>
      <c r="AC4">
        <v>-0.43867909125593463</v>
      </c>
    </row>
    <row r="5" spans="1:29" x14ac:dyDescent="0.3">
      <c r="A5" t="s">
        <v>62</v>
      </c>
      <c r="B5" t="s">
        <v>63</v>
      </c>
      <c r="C5" t="s">
        <v>64</v>
      </c>
      <c r="D5" t="s">
        <v>65</v>
      </c>
      <c r="E5">
        <v>0.95837399999999995</v>
      </c>
      <c r="F5">
        <v>52098373030</v>
      </c>
      <c r="G5">
        <v>4</v>
      </c>
      <c r="I5">
        <v>10024033488</v>
      </c>
      <c r="J5">
        <v>0.97979899999999998</v>
      </c>
      <c r="K5">
        <v>0.95170900000000003</v>
      </c>
      <c r="L5">
        <v>-2.9979835532920611E-3</v>
      </c>
      <c r="M5">
        <v>-0.31184000000000001</v>
      </c>
      <c r="N5">
        <v>110804085</v>
      </c>
      <c r="O5">
        <v>0.21314</v>
      </c>
      <c r="P5">
        <v>54242895989.545998</v>
      </c>
      <c r="Q5">
        <v>54243716730.503304</v>
      </c>
      <c r="S5">
        <v>1.048</v>
      </c>
      <c r="T5">
        <v>-8.44679</v>
      </c>
      <c r="U5" t="s">
        <v>66</v>
      </c>
      <c r="V5">
        <v>0.73026500000000005</v>
      </c>
      <c r="W5">
        <v>31.369340000000001</v>
      </c>
      <c r="X5" t="s">
        <v>67</v>
      </c>
      <c r="Z5" t="s">
        <v>1250</v>
      </c>
      <c r="AA5">
        <v>-9.6521542263994203E-2</v>
      </c>
      <c r="AB5">
        <v>15.569161363636509</v>
      </c>
      <c r="AC5">
        <v>-0.60767473835595864</v>
      </c>
    </row>
    <row r="6" spans="1:29" x14ac:dyDescent="0.3">
      <c r="A6" t="s">
        <v>68</v>
      </c>
      <c r="B6" t="s">
        <v>69</v>
      </c>
      <c r="C6" t="s">
        <v>70</v>
      </c>
      <c r="D6" t="s">
        <v>71</v>
      </c>
      <c r="E6">
        <v>221.81</v>
      </c>
      <c r="F6">
        <v>35998266102</v>
      </c>
      <c r="G6">
        <v>5</v>
      </c>
      <c r="H6">
        <v>36403890248</v>
      </c>
      <c r="I6">
        <v>2202131763</v>
      </c>
      <c r="J6">
        <v>222.24</v>
      </c>
      <c r="K6">
        <v>190.91</v>
      </c>
      <c r="L6">
        <v>13.28</v>
      </c>
      <c r="M6">
        <v>6.3677099999999998</v>
      </c>
      <c r="N6">
        <v>1863537359</v>
      </c>
      <c r="O6">
        <v>5.4593600000000002</v>
      </c>
      <c r="P6">
        <v>163276974.63</v>
      </c>
      <c r="Q6">
        <v>163276974.63</v>
      </c>
      <c r="R6">
        <v>165116760</v>
      </c>
      <c r="S6">
        <v>583.16999999999996</v>
      </c>
      <c r="T6">
        <v>-62.293689999999998</v>
      </c>
      <c r="U6" t="s">
        <v>72</v>
      </c>
      <c r="V6">
        <v>3.3599410000000003E-2</v>
      </c>
      <c r="W6">
        <v>654356.10982000001</v>
      </c>
      <c r="X6" t="s">
        <v>73</v>
      </c>
      <c r="Z6" t="s">
        <v>1251</v>
      </c>
      <c r="AA6">
        <v>3.3499673573399154</v>
      </c>
      <c r="AB6">
        <v>-27.519815928435698</v>
      </c>
      <c r="AC6">
        <v>-26.033944723141506</v>
      </c>
    </row>
    <row r="7" spans="1:29" x14ac:dyDescent="0.3">
      <c r="A7" t="s">
        <v>85</v>
      </c>
      <c r="B7" t="s">
        <v>86</v>
      </c>
      <c r="C7" t="s">
        <v>87</v>
      </c>
      <c r="D7" t="s">
        <v>88</v>
      </c>
      <c r="E7">
        <v>0.51394899999999999</v>
      </c>
      <c r="F7">
        <v>17344189094</v>
      </c>
      <c r="G7">
        <v>6</v>
      </c>
      <c r="H7">
        <v>23077541406</v>
      </c>
      <c r="I7">
        <v>2113029298</v>
      </c>
      <c r="J7">
        <v>0.51449900000000004</v>
      </c>
      <c r="K7">
        <v>0.43248500000000001</v>
      </c>
      <c r="L7">
        <v>6.5338999999999994E-2</v>
      </c>
      <c r="M7">
        <v>14.56488</v>
      </c>
      <c r="N7">
        <v>2114048549</v>
      </c>
      <c r="O7">
        <v>13.88069</v>
      </c>
      <c r="P7">
        <v>33820262543.950001</v>
      </c>
      <c r="Q7">
        <v>45000000000</v>
      </c>
      <c r="R7">
        <v>45000000000</v>
      </c>
      <c r="S7">
        <v>2.61</v>
      </c>
      <c r="T7">
        <v>-80.347049999999996</v>
      </c>
      <c r="U7" t="s">
        <v>89</v>
      </c>
      <c r="V7">
        <v>1.7223390000000002E-2</v>
      </c>
      <c r="W7">
        <v>2874.3540800000001</v>
      </c>
      <c r="X7" t="s">
        <v>90</v>
      </c>
      <c r="Z7" t="s">
        <v>1252</v>
      </c>
      <c r="AA7">
        <v>2.6010240847699837</v>
      </c>
      <c r="AB7">
        <v>-60.425008111714696</v>
      </c>
      <c r="AC7">
        <v>-10.556056834671161</v>
      </c>
    </row>
    <row r="8" spans="1:29" x14ac:dyDescent="0.3">
      <c r="A8" t="s">
        <v>79</v>
      </c>
      <c r="B8" t="s">
        <v>80</v>
      </c>
      <c r="C8" t="s">
        <v>81</v>
      </c>
      <c r="D8" t="s">
        <v>82</v>
      </c>
      <c r="E8">
        <v>0.965449</v>
      </c>
      <c r="F8">
        <v>16982666420</v>
      </c>
      <c r="G8">
        <v>7</v>
      </c>
      <c r="I8">
        <v>6623136683</v>
      </c>
      <c r="J8">
        <v>0.982016</v>
      </c>
      <c r="K8">
        <v>0.934643</v>
      </c>
      <c r="L8">
        <v>4.0805099999999999E-3</v>
      </c>
      <c r="M8">
        <v>0.42444999999999999</v>
      </c>
      <c r="N8">
        <v>218781756</v>
      </c>
      <c r="O8">
        <v>1.30508</v>
      </c>
      <c r="P8">
        <v>17627611917.630001</v>
      </c>
      <c r="Q8">
        <v>17635721162.810001</v>
      </c>
      <c r="S8">
        <v>1.032</v>
      </c>
      <c r="T8">
        <v>-6.5335400000000003</v>
      </c>
      <c r="U8" t="s">
        <v>83</v>
      </c>
      <c r="V8">
        <v>0.73816000000000004</v>
      </c>
      <c r="W8">
        <v>30.68197</v>
      </c>
      <c r="X8" t="s">
        <v>84</v>
      </c>
      <c r="Z8" t="s">
        <v>1253</v>
      </c>
      <c r="AA8">
        <v>0.27049096686131702</v>
      </c>
      <c r="AB8">
        <v>16.510865976924013</v>
      </c>
      <c r="AC8">
        <v>8.6150768220964569E-2</v>
      </c>
    </row>
    <row r="9" spans="1:29" x14ac:dyDescent="0.3">
      <c r="A9" t="s">
        <v>74</v>
      </c>
      <c r="B9" t="s">
        <v>75</v>
      </c>
      <c r="C9" t="s">
        <v>12</v>
      </c>
      <c r="D9" t="s">
        <v>76</v>
      </c>
      <c r="E9">
        <v>0.32930300000000001</v>
      </c>
      <c r="F9">
        <v>15853449736</v>
      </c>
      <c r="G9">
        <v>8</v>
      </c>
      <c r="H9">
        <v>32793613449</v>
      </c>
      <c r="I9">
        <v>2140555841</v>
      </c>
      <c r="J9">
        <v>0.32976800000000001</v>
      </c>
      <c r="K9">
        <v>0.28784599999999999</v>
      </c>
      <c r="L9">
        <v>2.662639E-2</v>
      </c>
      <c r="M9">
        <v>8.79697</v>
      </c>
      <c r="N9">
        <v>1214207895</v>
      </c>
      <c r="O9">
        <v>8.2942</v>
      </c>
      <c r="P9">
        <v>48343101197</v>
      </c>
      <c r="Q9">
        <v>99989535142</v>
      </c>
      <c r="R9">
        <v>100000000000</v>
      </c>
      <c r="S9">
        <v>2.82</v>
      </c>
      <c r="T9">
        <v>-88.401439999999994</v>
      </c>
      <c r="U9" t="s">
        <v>77</v>
      </c>
      <c r="V9">
        <v>1.94619E-3</v>
      </c>
      <c r="W9">
        <v>16724.15741</v>
      </c>
      <c r="X9" t="s">
        <v>78</v>
      </c>
      <c r="Z9" t="s">
        <v>1254</v>
      </c>
      <c r="AA9">
        <v>3.8602164716454448</v>
      </c>
      <c r="AB9">
        <v>-55.284340835163256</v>
      </c>
      <c r="AC9">
        <v>-23.562516390115228</v>
      </c>
    </row>
    <row r="10" spans="1:29" x14ac:dyDescent="0.3">
      <c r="A10" t="s">
        <v>91</v>
      </c>
      <c r="B10" t="s">
        <v>92</v>
      </c>
      <c r="C10" t="s">
        <v>93</v>
      </c>
      <c r="D10" t="s">
        <v>94</v>
      </c>
      <c r="E10">
        <v>32.93</v>
      </c>
      <c r="F10">
        <v>11229925488</v>
      </c>
      <c r="G10">
        <v>9</v>
      </c>
      <c r="I10">
        <v>2491065293</v>
      </c>
      <c r="J10">
        <v>32.94</v>
      </c>
      <c r="K10">
        <v>25.71</v>
      </c>
      <c r="L10">
        <v>5.83</v>
      </c>
      <c r="M10">
        <v>21.496860000000002</v>
      </c>
      <c r="N10">
        <v>1900059767</v>
      </c>
      <c r="O10">
        <v>20.365349999999999</v>
      </c>
      <c r="P10">
        <v>342209606.39134097</v>
      </c>
      <c r="Q10">
        <v>508180963.56999999</v>
      </c>
      <c r="S10">
        <v>225.04</v>
      </c>
      <c r="T10">
        <v>-85.400300000000001</v>
      </c>
      <c r="U10" t="s">
        <v>95</v>
      </c>
      <c r="V10">
        <v>0.46316000000000002</v>
      </c>
      <c r="W10">
        <v>6993.8114100000003</v>
      </c>
      <c r="X10" t="s">
        <v>96</v>
      </c>
      <c r="Z10" t="s">
        <v>1255</v>
      </c>
      <c r="AA10">
        <v>6.1331952770832174</v>
      </c>
      <c r="AB10">
        <v>0.71649961639456261</v>
      </c>
      <c r="AC10">
        <v>-41.77324414345572</v>
      </c>
    </row>
    <row r="11" spans="1:29" x14ac:dyDescent="0.3">
      <c r="A11" t="s">
        <v>103</v>
      </c>
      <c r="B11" t="s">
        <v>104</v>
      </c>
      <c r="C11" t="s">
        <v>105</v>
      </c>
      <c r="D11" t="s">
        <v>106</v>
      </c>
      <c r="E11">
        <v>7.96</v>
      </c>
      <c r="F11">
        <v>8938542323</v>
      </c>
      <c r="G11">
        <v>10</v>
      </c>
      <c r="I11">
        <v>826788855</v>
      </c>
      <c r="J11">
        <v>7.97</v>
      </c>
      <c r="K11">
        <v>6.56</v>
      </c>
      <c r="L11">
        <v>1.1000000000000001</v>
      </c>
      <c r="M11">
        <v>16.108270000000001</v>
      </c>
      <c r="N11">
        <v>1215073875</v>
      </c>
      <c r="O11">
        <v>15.732229999999999</v>
      </c>
      <c r="P11">
        <v>1122169312.6761799</v>
      </c>
      <c r="Q11">
        <v>1203118445.4925399</v>
      </c>
      <c r="S11">
        <v>47.6</v>
      </c>
      <c r="T11">
        <v>-83.273200000000003</v>
      </c>
      <c r="U11" t="s">
        <v>107</v>
      </c>
      <c r="V11">
        <v>2.27</v>
      </c>
      <c r="W11">
        <v>250.84772000000001</v>
      </c>
      <c r="X11" t="s">
        <v>108</v>
      </c>
      <c r="Z11" t="s">
        <v>1256</v>
      </c>
      <c r="AA11">
        <v>2.3170731037326107</v>
      </c>
      <c r="AB11">
        <v>-62.777314116651681</v>
      </c>
      <c r="AC11">
        <v>-29.799109511313983</v>
      </c>
    </row>
    <row r="12" spans="1:29" x14ac:dyDescent="0.3">
      <c r="A12" t="s">
        <v>97</v>
      </c>
      <c r="B12" t="s">
        <v>98</v>
      </c>
      <c r="C12" t="s">
        <v>99</v>
      </c>
      <c r="D12" t="s">
        <v>100</v>
      </c>
      <c r="E12">
        <v>5.8874000000000003E-2</v>
      </c>
      <c r="F12">
        <v>7662166306</v>
      </c>
      <c r="G12">
        <v>11</v>
      </c>
      <c r="I12">
        <v>905229957</v>
      </c>
      <c r="J12">
        <v>5.8742999999999997E-2</v>
      </c>
      <c r="K12">
        <v>4.8486550000000003E-2</v>
      </c>
      <c r="L12">
        <v>7.3920399999999999E-3</v>
      </c>
      <c r="M12">
        <v>14.35843</v>
      </c>
      <c r="N12">
        <v>807605950</v>
      </c>
      <c r="O12">
        <v>11.782019999999999</v>
      </c>
      <c r="P12">
        <v>132670764299.894</v>
      </c>
      <c r="S12">
        <v>0.60146599999999995</v>
      </c>
      <c r="T12">
        <v>-90.429770000000005</v>
      </c>
      <c r="U12" t="s">
        <v>101</v>
      </c>
      <c r="V12">
        <v>7.6619999999999995E-5</v>
      </c>
      <c r="W12">
        <v>75029.67211</v>
      </c>
      <c r="X12" t="s">
        <v>102</v>
      </c>
      <c r="Z12" t="s">
        <v>1257</v>
      </c>
      <c r="AA12">
        <v>4.6221407107522863</v>
      </c>
      <c r="AB12">
        <v>-78.239384025195221</v>
      </c>
      <c r="AC12">
        <v>-34.262133071097125</v>
      </c>
    </row>
    <row r="13" spans="1:29" x14ac:dyDescent="0.3">
      <c r="A13" t="s">
        <v>133</v>
      </c>
      <c r="B13" t="s">
        <v>133</v>
      </c>
      <c r="C13" t="s">
        <v>134</v>
      </c>
      <c r="D13" t="s">
        <v>135</v>
      </c>
      <c r="E13">
        <v>0.96047400000000005</v>
      </c>
      <c r="F13">
        <v>6030120548</v>
      </c>
      <c r="G13">
        <v>12</v>
      </c>
      <c r="H13">
        <v>6030120548</v>
      </c>
      <c r="I13">
        <v>897893688</v>
      </c>
      <c r="J13">
        <v>0.97751399999999999</v>
      </c>
      <c r="K13">
        <v>0.948712</v>
      </c>
      <c r="L13">
        <v>-3.7735076127398697E-4</v>
      </c>
      <c r="M13">
        <v>-3.9269999999999999E-2</v>
      </c>
      <c r="N13">
        <v>-77463748.548498154</v>
      </c>
      <c r="O13">
        <v>-1.2683199999999999</v>
      </c>
      <c r="P13">
        <v>6297730379.1185999</v>
      </c>
      <c r="Q13">
        <v>6267043240.0269899</v>
      </c>
      <c r="R13">
        <v>6297730379.1185999</v>
      </c>
      <c r="S13">
        <v>1.0880000000000001</v>
      </c>
      <c r="T13">
        <v>-11.87778</v>
      </c>
      <c r="U13" t="s">
        <v>136</v>
      </c>
      <c r="V13">
        <v>0.75932599999999995</v>
      </c>
      <c r="W13">
        <v>26.22364</v>
      </c>
      <c r="X13" t="s">
        <v>137</v>
      </c>
      <c r="Z13" t="s">
        <v>1258</v>
      </c>
      <c r="AA13">
        <v>0.29585862069483387</v>
      </c>
      <c r="AB13">
        <v>16.229832441350432</v>
      </c>
      <c r="AC13">
        <v>-4.65432526348964E-2</v>
      </c>
    </row>
    <row r="14" spans="1:29" x14ac:dyDescent="0.3">
      <c r="A14" t="s">
        <v>109</v>
      </c>
      <c r="B14" t="s">
        <v>110</v>
      </c>
      <c r="C14" t="s">
        <v>111</v>
      </c>
      <c r="D14" t="s">
        <v>112</v>
      </c>
      <c r="E14">
        <v>21669</v>
      </c>
      <c r="F14">
        <v>5822180497</v>
      </c>
      <c r="G14">
        <v>13</v>
      </c>
      <c r="H14">
        <v>5822180497</v>
      </c>
      <c r="I14">
        <v>963012464</v>
      </c>
      <c r="J14">
        <v>21683</v>
      </c>
      <c r="K14">
        <v>19270.89</v>
      </c>
      <c r="L14">
        <v>990.42</v>
      </c>
      <c r="M14">
        <v>4.7895200000000004</v>
      </c>
      <c r="N14">
        <v>203525423</v>
      </c>
      <c r="O14">
        <v>3.6223200000000002</v>
      </c>
      <c r="P14">
        <v>269501.28001222003</v>
      </c>
      <c r="Q14">
        <v>269501.28001222003</v>
      </c>
      <c r="R14">
        <v>269501.28001222003</v>
      </c>
      <c r="S14">
        <v>61044</v>
      </c>
      <c r="T14">
        <v>-64.839010000000002</v>
      </c>
      <c r="U14" t="s">
        <v>113</v>
      </c>
      <c r="V14">
        <v>2801.21</v>
      </c>
      <c r="W14">
        <v>666.22820000000002</v>
      </c>
      <c r="X14" t="s">
        <v>114</v>
      </c>
      <c r="Z14" t="s">
        <v>1259</v>
      </c>
      <c r="AA14">
        <v>3.18703376692129</v>
      </c>
      <c r="AB14">
        <v>-35.089460999750287</v>
      </c>
      <c r="AC14">
        <v>-27.870275016083845</v>
      </c>
    </row>
    <row r="15" spans="1:29" x14ac:dyDescent="0.3">
      <c r="A15" t="s">
        <v>115</v>
      </c>
      <c r="B15" t="s">
        <v>116</v>
      </c>
      <c r="C15" t="s">
        <v>117</v>
      </c>
      <c r="D15" t="s">
        <v>118</v>
      </c>
      <c r="E15">
        <v>6.0850000000000001E-2</v>
      </c>
      <c r="F15">
        <v>5610127384</v>
      </c>
      <c r="G15">
        <v>14</v>
      </c>
      <c r="I15">
        <v>3269376351</v>
      </c>
      <c r="J15">
        <v>6.0795000000000002E-2</v>
      </c>
      <c r="K15">
        <v>4.5641870000000001E-2</v>
      </c>
      <c r="L15">
        <v>8.2337199999999999E-3</v>
      </c>
      <c r="M15">
        <v>15.648709999999999</v>
      </c>
      <c r="N15">
        <v>743604726</v>
      </c>
      <c r="O15">
        <v>15.28</v>
      </c>
      <c r="P15">
        <v>92527181901.571899</v>
      </c>
      <c r="Q15">
        <v>101900409184.27299</v>
      </c>
      <c r="S15">
        <v>0.19259499999999999</v>
      </c>
      <c r="T15">
        <v>-68.644099999999995</v>
      </c>
      <c r="U15" t="s">
        <v>119</v>
      </c>
      <c r="V15">
        <v>1.5471300000000001E-3</v>
      </c>
      <c r="W15">
        <v>3803.3630499999999</v>
      </c>
      <c r="X15" t="s">
        <v>120</v>
      </c>
      <c r="Y15" t="s">
        <v>55</v>
      </c>
      <c r="Z15" t="s">
        <v>1260</v>
      </c>
      <c r="AA15">
        <v>1.7536773985031748</v>
      </c>
      <c r="AB15">
        <v>2.1563701698115123</v>
      </c>
      <c r="AC15">
        <v>-12.525463302482301</v>
      </c>
    </row>
    <row r="16" spans="1:29" x14ac:dyDescent="0.3">
      <c r="A16" t="s">
        <v>138</v>
      </c>
      <c r="B16" t="s">
        <v>139</v>
      </c>
      <c r="C16" t="s">
        <v>140</v>
      </c>
      <c r="D16" t="s">
        <v>141</v>
      </c>
      <c r="E16">
        <v>8.3999999999999992E-6</v>
      </c>
      <c r="F16">
        <v>4917051795</v>
      </c>
      <c r="G16">
        <v>15</v>
      </c>
      <c r="I16">
        <v>526241798</v>
      </c>
      <c r="J16">
        <v>8.3799999999999994E-6</v>
      </c>
      <c r="K16">
        <v>7.2799999999999998E-6</v>
      </c>
      <c r="L16">
        <v>7.7836600000000005E-7</v>
      </c>
      <c r="M16">
        <v>10.21585</v>
      </c>
      <c r="N16">
        <v>421346998</v>
      </c>
      <c r="O16">
        <v>9.3722100000000008</v>
      </c>
      <c r="P16">
        <v>589391379409659.75</v>
      </c>
      <c r="Q16">
        <v>999991488757897</v>
      </c>
      <c r="S16">
        <v>7.4239999999999994E-5</v>
      </c>
      <c r="T16">
        <v>-88.772130000000004</v>
      </c>
      <c r="U16" t="s">
        <v>142</v>
      </c>
      <c r="V16">
        <v>4.6962000000000003E-11</v>
      </c>
      <c r="W16">
        <v>17750057.549679998</v>
      </c>
      <c r="X16" t="s">
        <v>143</v>
      </c>
      <c r="Z16" t="s">
        <v>1261</v>
      </c>
      <c r="AA16">
        <v>3.0741482779457927</v>
      </c>
      <c r="AB16">
        <v>43.371450029317536</v>
      </c>
      <c r="AC16">
        <v>-32.839353131602401</v>
      </c>
    </row>
    <row r="17" spans="1:29" x14ac:dyDescent="0.3">
      <c r="A17" t="s">
        <v>127</v>
      </c>
      <c r="B17" t="s">
        <v>128</v>
      </c>
      <c r="C17" t="s">
        <v>129</v>
      </c>
      <c r="D17" t="s">
        <v>130</v>
      </c>
      <c r="E17">
        <v>17.37</v>
      </c>
      <c r="F17">
        <v>4863673185</v>
      </c>
      <c r="G17">
        <v>16</v>
      </c>
      <c r="H17">
        <v>12462378434</v>
      </c>
      <c r="I17">
        <v>860200790</v>
      </c>
      <c r="J17">
        <v>17.41</v>
      </c>
      <c r="K17">
        <v>14</v>
      </c>
      <c r="L17">
        <v>2.19</v>
      </c>
      <c r="M17">
        <v>14.44889</v>
      </c>
      <c r="N17">
        <v>583649562</v>
      </c>
      <c r="O17">
        <v>13.6366</v>
      </c>
      <c r="P17">
        <v>280993288.05193299</v>
      </c>
      <c r="Q17">
        <v>405085760.17653197</v>
      </c>
      <c r="R17">
        <v>720000000</v>
      </c>
      <c r="S17">
        <v>128.43</v>
      </c>
      <c r="T17">
        <v>-86.475260000000006</v>
      </c>
      <c r="U17" t="s">
        <v>131</v>
      </c>
      <c r="V17">
        <v>2.2799999999999998</v>
      </c>
      <c r="W17">
        <v>661.07856000000004</v>
      </c>
      <c r="X17" t="s">
        <v>132</v>
      </c>
      <c r="Z17" t="s">
        <v>1262</v>
      </c>
      <c r="AA17">
        <v>3.6360576001570069</v>
      </c>
      <c r="AB17">
        <v>39.229463806031767</v>
      </c>
      <c r="AC17">
        <v>-50.383145255632911</v>
      </c>
    </row>
    <row r="18" spans="1:29" x14ac:dyDescent="0.3">
      <c r="A18" t="s">
        <v>121</v>
      </c>
      <c r="B18" t="s">
        <v>122</v>
      </c>
      <c r="C18" t="s">
        <v>123</v>
      </c>
      <c r="D18" t="s">
        <v>124</v>
      </c>
      <c r="E18">
        <v>1109.1199999999999</v>
      </c>
      <c r="F18">
        <v>4662820311</v>
      </c>
      <c r="G18">
        <v>17</v>
      </c>
      <c r="H18">
        <v>4662820311</v>
      </c>
      <c r="I18">
        <v>121815460</v>
      </c>
      <c r="J18">
        <v>1115.67</v>
      </c>
      <c r="K18">
        <v>923.12</v>
      </c>
      <c r="L18">
        <v>35.340000000000003</v>
      </c>
      <c r="M18">
        <v>3.2915000000000001</v>
      </c>
      <c r="N18">
        <v>118958824</v>
      </c>
      <c r="O18">
        <v>2.6180099999999999</v>
      </c>
      <c r="P18">
        <v>4221938.48069702</v>
      </c>
      <c r="Q18">
        <v>4221942.0910893502</v>
      </c>
      <c r="R18">
        <v>4221938.48069702</v>
      </c>
      <c r="S18">
        <v>4188.5200000000004</v>
      </c>
      <c r="T18">
        <v>-73.611990000000006</v>
      </c>
      <c r="U18" t="s">
        <v>125</v>
      </c>
      <c r="V18">
        <v>394.87</v>
      </c>
      <c r="W18">
        <v>179.90968000000001</v>
      </c>
      <c r="X18" t="s">
        <v>126</v>
      </c>
      <c r="Z18" t="s">
        <v>1263</v>
      </c>
      <c r="AA18">
        <v>1.5818017040971215</v>
      </c>
      <c r="AB18">
        <v>-48.009226286417231</v>
      </c>
      <c r="AC18">
        <v>-45.401600444115395</v>
      </c>
    </row>
    <row r="19" spans="1:29" x14ac:dyDescent="0.3">
      <c r="A19" t="s">
        <v>144</v>
      </c>
      <c r="B19" t="s">
        <v>145</v>
      </c>
      <c r="C19" t="s">
        <v>146</v>
      </c>
      <c r="D19" t="s">
        <v>147</v>
      </c>
      <c r="E19">
        <v>4.78</v>
      </c>
      <c r="F19">
        <v>4461529746</v>
      </c>
      <c r="G19">
        <v>18</v>
      </c>
      <c r="I19">
        <v>4328801</v>
      </c>
      <c r="J19">
        <v>5.16</v>
      </c>
      <c r="K19">
        <v>4.75</v>
      </c>
      <c r="L19">
        <v>-0.35488269217003587</v>
      </c>
      <c r="M19">
        <v>-6.9177900000000001</v>
      </c>
      <c r="N19">
        <v>-341252649.25198555</v>
      </c>
      <c r="O19">
        <v>-7.1053100000000002</v>
      </c>
      <c r="P19">
        <v>935502341.89999998</v>
      </c>
      <c r="Q19">
        <v>985239504</v>
      </c>
      <c r="S19">
        <v>7.12</v>
      </c>
      <c r="T19">
        <v>-33.011040000000001</v>
      </c>
      <c r="U19" t="s">
        <v>148</v>
      </c>
      <c r="V19">
        <v>0.71566300000000005</v>
      </c>
      <c r="W19">
        <v>566.72321999999997</v>
      </c>
      <c r="X19" t="s">
        <v>149</v>
      </c>
      <c r="Z19" t="s">
        <v>1264</v>
      </c>
      <c r="AA19">
        <v>0.18378743733887989</v>
      </c>
      <c r="AB19">
        <v>129.2927411380816</v>
      </c>
      <c r="AC19">
        <v>0.52892326451159011</v>
      </c>
    </row>
    <row r="20" spans="1:29" x14ac:dyDescent="0.3">
      <c r="A20" t="s">
        <v>150</v>
      </c>
      <c r="B20" t="s">
        <v>151</v>
      </c>
      <c r="C20" t="s">
        <v>152</v>
      </c>
      <c r="D20" t="s">
        <v>153</v>
      </c>
      <c r="E20">
        <v>48.51</v>
      </c>
      <c r="F20">
        <v>3413485107</v>
      </c>
      <c r="G20">
        <v>19</v>
      </c>
      <c r="H20">
        <v>4066433511</v>
      </c>
      <c r="I20">
        <v>971010842</v>
      </c>
      <c r="J20">
        <v>48.49</v>
      </c>
      <c r="K20">
        <v>40.020000000000003</v>
      </c>
      <c r="L20">
        <v>5.83</v>
      </c>
      <c r="M20">
        <v>13.67084</v>
      </c>
      <c r="N20">
        <v>395106215</v>
      </c>
      <c r="O20">
        <v>13.090009999999999</v>
      </c>
      <c r="P20">
        <v>70512095.733471304</v>
      </c>
      <c r="Q20">
        <v>84000000</v>
      </c>
      <c r="R20">
        <v>84000000</v>
      </c>
      <c r="S20">
        <v>337.56</v>
      </c>
      <c r="T20">
        <v>-85.716579999999993</v>
      </c>
      <c r="U20" t="s">
        <v>154</v>
      </c>
      <c r="V20">
        <v>0.98131400000000002</v>
      </c>
      <c r="W20">
        <v>4813.3854499999998</v>
      </c>
      <c r="X20" t="s">
        <v>155</v>
      </c>
      <c r="Z20" t="s">
        <v>1265</v>
      </c>
      <c r="AA20">
        <v>2.5405435586060698</v>
      </c>
      <c r="AB20">
        <v>-67.222370293277379</v>
      </c>
      <c r="AC20">
        <v>-29.434443321073982</v>
      </c>
    </row>
    <row r="21" spans="1:29" x14ac:dyDescent="0.3">
      <c r="A21" t="s">
        <v>168</v>
      </c>
      <c r="B21" t="s">
        <v>169</v>
      </c>
      <c r="C21" t="s">
        <v>1145</v>
      </c>
      <c r="D21" t="s">
        <v>170</v>
      </c>
      <c r="E21">
        <v>24.33</v>
      </c>
      <c r="F21">
        <v>3287925528</v>
      </c>
      <c r="G21">
        <v>20</v>
      </c>
      <c r="H21">
        <v>8033287515</v>
      </c>
      <c r="I21">
        <v>175218947</v>
      </c>
      <c r="J21">
        <v>24.36</v>
      </c>
      <c r="K21">
        <v>20.18</v>
      </c>
      <c r="L21">
        <v>1.95</v>
      </c>
      <c r="M21">
        <v>8.7063000000000006</v>
      </c>
      <c r="N21">
        <v>238954060</v>
      </c>
      <c r="O21">
        <v>7.8372000000000002</v>
      </c>
      <c r="P21">
        <v>135712258.01874423</v>
      </c>
      <c r="Q21">
        <v>331581594.08597201</v>
      </c>
      <c r="R21">
        <v>331581594.08597201</v>
      </c>
      <c r="S21">
        <v>71.150000000000006</v>
      </c>
      <c r="T21">
        <v>-66.07611</v>
      </c>
      <c r="U21" t="s">
        <v>171</v>
      </c>
      <c r="V21">
        <v>1.0389999999999999</v>
      </c>
      <c r="W21">
        <v>2223.4231</v>
      </c>
      <c r="X21" t="s">
        <v>172</v>
      </c>
      <c r="Z21" t="s">
        <v>1266</v>
      </c>
      <c r="AA21">
        <v>2.5180427490595032</v>
      </c>
      <c r="AB21">
        <v>-13.616389572407922</v>
      </c>
      <c r="AC21">
        <v>-22.462325059432796</v>
      </c>
    </row>
    <row r="22" spans="1:29" x14ac:dyDescent="0.3">
      <c r="A22" t="s">
        <v>201</v>
      </c>
      <c r="B22" t="s">
        <v>202</v>
      </c>
      <c r="C22" t="s">
        <v>203</v>
      </c>
      <c r="D22" t="s">
        <v>204</v>
      </c>
      <c r="E22">
        <v>6.97</v>
      </c>
      <c r="F22">
        <v>3246758244</v>
      </c>
      <c r="G22">
        <v>21</v>
      </c>
      <c r="H22">
        <v>6952230950</v>
      </c>
      <c r="I22">
        <v>1403651691</v>
      </c>
      <c r="J22">
        <v>6.97</v>
      </c>
      <c r="K22">
        <v>5.61</v>
      </c>
      <c r="L22">
        <v>0.89564699999999997</v>
      </c>
      <c r="M22">
        <v>14.745939999999999</v>
      </c>
      <c r="N22">
        <v>395200803</v>
      </c>
      <c r="O22">
        <v>13.859120000000001</v>
      </c>
      <c r="P22">
        <v>467009549.52056372</v>
      </c>
      <c r="Q22">
        <v>1000000000</v>
      </c>
      <c r="R22">
        <v>1000000000</v>
      </c>
      <c r="S22">
        <v>43.32</v>
      </c>
      <c r="T22">
        <v>-84.031009999999995</v>
      </c>
      <c r="U22" t="s">
        <v>205</v>
      </c>
      <c r="V22">
        <v>0.12504799999999999</v>
      </c>
      <c r="W22">
        <v>5431.63022</v>
      </c>
      <c r="X22" t="s">
        <v>206</v>
      </c>
      <c r="Z22" t="s">
        <v>1267</v>
      </c>
      <c r="AA22">
        <v>2.3568629581536187</v>
      </c>
      <c r="AB22">
        <v>-66.110762471648371</v>
      </c>
      <c r="AC22">
        <v>-8.2337932775609488</v>
      </c>
    </row>
    <row r="23" spans="1:29" x14ac:dyDescent="0.3">
      <c r="A23" t="s">
        <v>156</v>
      </c>
      <c r="B23" t="s">
        <v>157</v>
      </c>
      <c r="C23" t="s">
        <v>158</v>
      </c>
      <c r="D23" t="s">
        <v>159</v>
      </c>
      <c r="E23">
        <v>0.11680500000000001</v>
      </c>
      <c r="F23">
        <v>2940515944</v>
      </c>
      <c r="G23">
        <v>22</v>
      </c>
      <c r="I23">
        <v>46071907</v>
      </c>
      <c r="J23">
        <v>0.11702700000000001</v>
      </c>
      <c r="K23">
        <v>0.100381</v>
      </c>
      <c r="L23">
        <v>5.9254199999999998E-3</v>
      </c>
      <c r="M23">
        <v>5.3440000000000003</v>
      </c>
      <c r="N23">
        <v>139116349</v>
      </c>
      <c r="O23">
        <v>4.9659599999999999</v>
      </c>
      <c r="P23">
        <v>25263013692</v>
      </c>
      <c r="Q23">
        <v>30263013692</v>
      </c>
      <c r="S23">
        <v>0.86204800000000004</v>
      </c>
      <c r="T23">
        <v>-86.521060000000006</v>
      </c>
      <c r="U23" t="s">
        <v>160</v>
      </c>
      <c r="V23">
        <v>1.0688919999999999E-2</v>
      </c>
      <c r="W23">
        <v>987.05952000000002</v>
      </c>
      <c r="X23" t="s">
        <v>161</v>
      </c>
      <c r="Z23" t="s">
        <v>1268</v>
      </c>
      <c r="AA23">
        <v>3.1114477642262308</v>
      </c>
      <c r="AB23">
        <v>18.031032315435425</v>
      </c>
      <c r="AC23">
        <v>-40.240528067515974</v>
      </c>
    </row>
    <row r="24" spans="1:29" x14ac:dyDescent="0.3">
      <c r="A24" t="s">
        <v>189</v>
      </c>
      <c r="B24" t="s">
        <v>190</v>
      </c>
      <c r="C24" t="s">
        <v>191</v>
      </c>
      <c r="D24" t="s">
        <v>192</v>
      </c>
      <c r="E24">
        <v>0.115994</v>
      </c>
      <c r="F24">
        <v>2892557187</v>
      </c>
      <c r="G24">
        <v>23</v>
      </c>
      <c r="H24">
        <v>5788036298</v>
      </c>
      <c r="I24">
        <v>231709497</v>
      </c>
      <c r="J24">
        <v>0.116081</v>
      </c>
      <c r="K24">
        <v>9.9598000000000006E-2</v>
      </c>
      <c r="L24">
        <v>9.4521099999999997E-3</v>
      </c>
      <c r="M24">
        <v>8.8717600000000001</v>
      </c>
      <c r="N24">
        <v>225833909</v>
      </c>
      <c r="O24">
        <v>8.4685900000000007</v>
      </c>
      <c r="P24">
        <v>24988272891.397099</v>
      </c>
      <c r="Q24">
        <v>50001787743.997398</v>
      </c>
      <c r="R24">
        <v>50001787743.997398</v>
      </c>
      <c r="S24">
        <v>0.72910399999999997</v>
      </c>
      <c r="T24">
        <v>-84.289159999999995</v>
      </c>
      <c r="U24" t="s">
        <v>193</v>
      </c>
      <c r="V24">
        <v>4.3157999999999998E-4</v>
      </c>
      <c r="W24">
        <v>26441.679629999999</v>
      </c>
      <c r="X24" t="s">
        <v>194</v>
      </c>
      <c r="Z24" t="s">
        <v>1269</v>
      </c>
      <c r="AA24">
        <v>3.5995397288230655</v>
      </c>
      <c r="AB24">
        <v>-59.3072654782586</v>
      </c>
      <c r="AC24">
        <v>-17.137615446990321</v>
      </c>
    </row>
    <row r="25" spans="1:29" x14ac:dyDescent="0.3">
      <c r="A25" t="s">
        <v>207</v>
      </c>
      <c r="B25" t="s">
        <v>207</v>
      </c>
      <c r="C25" t="s">
        <v>208</v>
      </c>
      <c r="D25" t="s">
        <v>209</v>
      </c>
      <c r="E25">
        <v>11.23</v>
      </c>
      <c r="F25">
        <v>2857238204</v>
      </c>
      <c r="G25">
        <v>24</v>
      </c>
      <c r="I25">
        <v>9204804</v>
      </c>
      <c r="J25">
        <v>11.26</v>
      </c>
      <c r="K25">
        <v>10.119999999999999</v>
      </c>
      <c r="L25">
        <v>0.67106100000000002</v>
      </c>
      <c r="M25">
        <v>6.3550500000000003</v>
      </c>
      <c r="N25">
        <v>150513012</v>
      </c>
      <c r="O25">
        <v>5.5607100000000003</v>
      </c>
      <c r="P25">
        <v>256388091.38</v>
      </c>
      <c r="Q25">
        <v>300000000</v>
      </c>
      <c r="S25">
        <v>36.57</v>
      </c>
      <c r="T25">
        <v>-69.326999999999998</v>
      </c>
      <c r="U25" t="s">
        <v>210</v>
      </c>
      <c r="V25">
        <v>0.50660799999999995</v>
      </c>
      <c r="W25">
        <v>2114.0497</v>
      </c>
      <c r="X25" t="s">
        <v>211</v>
      </c>
      <c r="Z25" t="s">
        <v>1270</v>
      </c>
      <c r="AA25">
        <v>1.2820303440598035</v>
      </c>
      <c r="AB25">
        <v>-7.366566479593069</v>
      </c>
      <c r="AC25">
        <v>-10.023871160143296</v>
      </c>
    </row>
    <row r="26" spans="1:29" x14ac:dyDescent="0.3">
      <c r="A26" t="s">
        <v>162</v>
      </c>
      <c r="B26" t="s">
        <v>163</v>
      </c>
      <c r="C26" t="s">
        <v>164</v>
      </c>
      <c r="D26" t="s">
        <v>165</v>
      </c>
      <c r="E26">
        <v>0.412574</v>
      </c>
      <c r="F26">
        <v>2824795722</v>
      </c>
      <c r="G26">
        <v>25</v>
      </c>
      <c r="H26">
        <v>4110055093</v>
      </c>
      <c r="I26">
        <v>602905881</v>
      </c>
      <c r="J26">
        <v>0.41219699999999998</v>
      </c>
      <c r="K26">
        <v>0.349686</v>
      </c>
      <c r="L26">
        <v>2.769286E-2</v>
      </c>
      <c r="M26">
        <v>7.1951700000000001</v>
      </c>
      <c r="N26">
        <v>170319855</v>
      </c>
      <c r="O26">
        <v>6.4163300000000003</v>
      </c>
      <c r="P26">
        <v>6872890164.2700005</v>
      </c>
      <c r="Q26">
        <v>10000000000</v>
      </c>
      <c r="R26">
        <v>10000000000</v>
      </c>
      <c r="S26">
        <v>2.58</v>
      </c>
      <c r="T26">
        <v>-84.042360000000002</v>
      </c>
      <c r="U26" t="s">
        <v>166</v>
      </c>
      <c r="V26">
        <v>2.8020200000000001E-3</v>
      </c>
      <c r="W26">
        <v>14575.31517</v>
      </c>
      <c r="X26" t="s">
        <v>167</v>
      </c>
      <c r="Y26" t="s">
        <v>55</v>
      </c>
      <c r="Z26" t="s">
        <v>1271</v>
      </c>
      <c r="AA26">
        <v>2.8475429946947477</v>
      </c>
      <c r="AB26">
        <v>-67.705402022382728</v>
      </c>
      <c r="AC26">
        <v>-41.664427492771161</v>
      </c>
    </row>
    <row r="27" spans="1:29" x14ac:dyDescent="0.3">
      <c r="A27" t="s">
        <v>173</v>
      </c>
      <c r="B27" t="s">
        <v>173</v>
      </c>
      <c r="C27" t="s">
        <v>174</v>
      </c>
      <c r="D27" t="s">
        <v>175</v>
      </c>
      <c r="E27">
        <v>3.46</v>
      </c>
      <c r="F27">
        <v>2468255671</v>
      </c>
      <c r="G27">
        <v>26</v>
      </c>
      <c r="H27">
        <v>3448179664</v>
      </c>
      <c r="I27">
        <v>456661030</v>
      </c>
      <c r="J27">
        <v>3.48</v>
      </c>
      <c r="K27">
        <v>2.92</v>
      </c>
      <c r="L27">
        <v>0.31938899999999998</v>
      </c>
      <c r="M27">
        <v>10.16187</v>
      </c>
      <c r="N27">
        <v>224912001</v>
      </c>
      <c r="O27">
        <v>10.02575</v>
      </c>
      <c r="P27">
        <v>715814113.91506004</v>
      </c>
      <c r="Q27">
        <v>1000000000</v>
      </c>
      <c r="R27">
        <v>1000000000</v>
      </c>
      <c r="S27">
        <v>18.07</v>
      </c>
      <c r="T27">
        <v>-80.804320000000004</v>
      </c>
      <c r="U27" t="s">
        <v>176</v>
      </c>
      <c r="V27">
        <v>0.44989099999999999</v>
      </c>
      <c r="W27">
        <v>671.03671999999995</v>
      </c>
      <c r="X27" t="s">
        <v>177</v>
      </c>
      <c r="Z27" t="s">
        <v>1272</v>
      </c>
      <c r="AA27">
        <v>2.6282669778839973</v>
      </c>
      <c r="AB27">
        <v>30.05548369213783</v>
      </c>
      <c r="AC27">
        <v>-51.0581266344699</v>
      </c>
    </row>
    <row r="28" spans="1:29" x14ac:dyDescent="0.3">
      <c r="A28" t="s">
        <v>178</v>
      </c>
      <c r="B28" t="s">
        <v>179</v>
      </c>
      <c r="C28" t="s">
        <v>180</v>
      </c>
      <c r="D28" t="s">
        <v>181</v>
      </c>
      <c r="E28">
        <v>122.24</v>
      </c>
      <c r="F28">
        <v>2334084244</v>
      </c>
      <c r="G28">
        <v>27</v>
      </c>
      <c r="H28">
        <v>2567391362</v>
      </c>
      <c r="I28">
        <v>488158670</v>
      </c>
      <c r="J28">
        <v>126.2</v>
      </c>
      <c r="K28">
        <v>107.51</v>
      </c>
      <c r="L28">
        <v>4.66</v>
      </c>
      <c r="M28">
        <v>3.9619399999999998</v>
      </c>
      <c r="N28">
        <v>85929831</v>
      </c>
      <c r="O28">
        <v>3.8222399999999999</v>
      </c>
      <c r="P28">
        <v>19091662.3966511</v>
      </c>
      <c r="Q28">
        <v>21000000</v>
      </c>
      <c r="R28">
        <v>21000000</v>
      </c>
      <c r="S28">
        <v>3187.12</v>
      </c>
      <c r="T28">
        <v>-96.155100000000004</v>
      </c>
      <c r="U28" t="s">
        <v>182</v>
      </c>
      <c r="V28">
        <v>68.03</v>
      </c>
      <c r="W28">
        <v>80.121510000000001</v>
      </c>
      <c r="X28" t="s">
        <v>183</v>
      </c>
      <c r="Z28" t="s">
        <v>1273</v>
      </c>
      <c r="AA28">
        <v>1.928689226961958</v>
      </c>
      <c r="AB28">
        <v>-76.857171908239991</v>
      </c>
      <c r="AC28">
        <v>-40.667707841077949</v>
      </c>
    </row>
    <row r="29" spans="1:29" x14ac:dyDescent="0.3">
      <c r="A29" t="s">
        <v>222</v>
      </c>
      <c r="B29" t="s">
        <v>223</v>
      </c>
      <c r="C29" t="s">
        <v>224</v>
      </c>
      <c r="D29" t="s">
        <v>225</v>
      </c>
      <c r="E29">
        <v>0.32563199999999998</v>
      </c>
      <c r="F29">
        <v>2227154423</v>
      </c>
      <c r="G29">
        <v>28</v>
      </c>
      <c r="H29">
        <v>3242187291</v>
      </c>
      <c r="I29">
        <v>219653922</v>
      </c>
      <c r="J29">
        <v>0.32552599999999998</v>
      </c>
      <c r="K29">
        <v>0.26731500000000002</v>
      </c>
      <c r="L29">
        <v>3.7576909999999998E-2</v>
      </c>
      <c r="M29">
        <v>13.045059999999999</v>
      </c>
      <c r="N29">
        <v>242119956</v>
      </c>
      <c r="O29">
        <v>12.19727</v>
      </c>
      <c r="P29">
        <v>6869296013.6881905</v>
      </c>
      <c r="Q29">
        <v>7274675749.9102001</v>
      </c>
      <c r="R29">
        <v>10000000000</v>
      </c>
      <c r="S29">
        <v>3.15</v>
      </c>
      <c r="T29">
        <v>-89.693770000000001</v>
      </c>
      <c r="U29" t="s">
        <v>226</v>
      </c>
      <c r="V29">
        <v>9.4201999999999994E-2</v>
      </c>
      <c r="W29">
        <v>244.90373</v>
      </c>
      <c r="X29" t="s">
        <v>227</v>
      </c>
      <c r="Y29" t="s">
        <v>55</v>
      </c>
      <c r="Z29" t="s">
        <v>1274</v>
      </c>
      <c r="AA29">
        <v>1.6519687267512393</v>
      </c>
      <c r="AB29">
        <v>-62.580475798382587</v>
      </c>
      <c r="AC29">
        <v>-31.06157226183527</v>
      </c>
    </row>
    <row r="30" spans="1:29" x14ac:dyDescent="0.3">
      <c r="A30" t="s">
        <v>184</v>
      </c>
      <c r="B30" t="s">
        <v>185</v>
      </c>
      <c r="C30" t="s">
        <v>186</v>
      </c>
      <c r="D30" t="s">
        <v>187</v>
      </c>
      <c r="E30">
        <v>113.78</v>
      </c>
      <c r="F30">
        <v>2066748104</v>
      </c>
      <c r="G30">
        <v>29</v>
      </c>
      <c r="I30">
        <v>161611688</v>
      </c>
      <c r="J30">
        <v>115.55</v>
      </c>
      <c r="K30">
        <v>99.96</v>
      </c>
      <c r="L30">
        <v>1.1299999999999999</v>
      </c>
      <c r="M30">
        <v>1.00498</v>
      </c>
      <c r="N30">
        <v>11995615</v>
      </c>
      <c r="O30">
        <v>0.58379999999999999</v>
      </c>
      <c r="P30">
        <v>18135129.7921809</v>
      </c>
      <c r="S30">
        <v>454.53</v>
      </c>
      <c r="T30">
        <v>-74.925989999999999</v>
      </c>
      <c r="U30" t="s">
        <v>188</v>
      </c>
      <c r="V30">
        <v>0.18465200000000001</v>
      </c>
      <c r="W30">
        <v>61621.457240000003</v>
      </c>
      <c r="X30" t="s">
        <v>155</v>
      </c>
      <c r="Z30" t="s">
        <v>1275</v>
      </c>
      <c r="AA30">
        <v>1.5106207744251383</v>
      </c>
      <c r="AB30">
        <v>-49.971650117760497</v>
      </c>
      <c r="AC30">
        <v>-31.024400165921289</v>
      </c>
    </row>
    <row r="31" spans="1:29" x14ac:dyDescent="0.3">
      <c r="A31" t="s">
        <v>195</v>
      </c>
      <c r="B31" t="s">
        <v>196</v>
      </c>
      <c r="C31" t="s">
        <v>197</v>
      </c>
      <c r="D31" t="s">
        <v>198</v>
      </c>
      <c r="E31">
        <v>15.29</v>
      </c>
      <c r="F31">
        <v>2055082268</v>
      </c>
      <c r="G31">
        <v>30</v>
      </c>
      <c r="H31">
        <v>3200079502</v>
      </c>
      <c r="I31">
        <v>343055079</v>
      </c>
      <c r="J31">
        <v>15.27</v>
      </c>
      <c r="K31">
        <v>12.45</v>
      </c>
      <c r="L31">
        <v>1.71</v>
      </c>
      <c r="M31">
        <v>12.59714</v>
      </c>
      <c r="N31">
        <v>212516400</v>
      </c>
      <c r="O31">
        <v>11.533720000000001</v>
      </c>
      <c r="P31">
        <v>135310961.35457999</v>
      </c>
      <c r="Q31">
        <v>210700000</v>
      </c>
      <c r="R31">
        <v>210700000</v>
      </c>
      <c r="S31">
        <v>138.61000000000001</v>
      </c>
      <c r="T31">
        <v>-89.035669999999996</v>
      </c>
      <c r="U31" t="s">
        <v>199</v>
      </c>
      <c r="V31">
        <v>0.55999699999999997</v>
      </c>
      <c r="W31">
        <v>2613.84744</v>
      </c>
      <c r="X31" t="s">
        <v>200</v>
      </c>
      <c r="Y31" t="s">
        <v>55</v>
      </c>
      <c r="Z31" t="s">
        <v>1276</v>
      </c>
      <c r="AA31">
        <v>3.6017489156325495</v>
      </c>
      <c r="AB31">
        <v>-68.855436552395958</v>
      </c>
      <c r="AC31">
        <v>-28.171080331557764</v>
      </c>
    </row>
    <row r="32" spans="1:29" x14ac:dyDescent="0.3">
      <c r="A32" t="s">
        <v>216</v>
      </c>
      <c r="B32" t="s">
        <v>217</v>
      </c>
      <c r="C32" t="s">
        <v>218</v>
      </c>
      <c r="D32" t="s">
        <v>219</v>
      </c>
      <c r="E32">
        <v>6.97</v>
      </c>
      <c r="F32">
        <v>2032496590</v>
      </c>
      <c r="G32">
        <v>31</v>
      </c>
      <c r="I32">
        <v>399241654</v>
      </c>
      <c r="J32">
        <v>6.96</v>
      </c>
      <c r="K32">
        <v>5.69</v>
      </c>
      <c r="L32">
        <v>1.014</v>
      </c>
      <c r="M32">
        <v>17.032509999999998</v>
      </c>
      <c r="N32">
        <v>284306852</v>
      </c>
      <c r="O32">
        <v>16.262930000000001</v>
      </c>
      <c r="P32">
        <v>292586163.82742798</v>
      </c>
      <c r="S32">
        <v>39.22</v>
      </c>
      <c r="T32">
        <v>-82.27131</v>
      </c>
      <c r="U32" t="s">
        <v>220</v>
      </c>
      <c r="V32">
        <v>1.0369999999999999</v>
      </c>
      <c r="W32">
        <v>570.29028000000005</v>
      </c>
      <c r="X32" t="s">
        <v>221</v>
      </c>
      <c r="Y32" t="s">
        <v>55</v>
      </c>
      <c r="Z32" t="s">
        <v>1277</v>
      </c>
      <c r="AA32">
        <v>1.7087933345623707</v>
      </c>
      <c r="AB32">
        <v>-36.459155291519885</v>
      </c>
      <c r="AC32">
        <v>-41.35101169351946</v>
      </c>
    </row>
    <row r="33" spans="1:29" x14ac:dyDescent="0.3">
      <c r="A33" t="s">
        <v>232</v>
      </c>
      <c r="B33" t="s">
        <v>233</v>
      </c>
      <c r="C33" t="s">
        <v>234</v>
      </c>
      <c r="D33" t="s">
        <v>235</v>
      </c>
      <c r="E33">
        <v>4.22</v>
      </c>
      <c r="F33">
        <v>1920971533</v>
      </c>
      <c r="G33">
        <v>32</v>
      </c>
      <c r="H33">
        <v>4208138812</v>
      </c>
      <c r="I33">
        <v>157806470</v>
      </c>
      <c r="J33">
        <v>4.22</v>
      </c>
      <c r="K33">
        <v>3.25</v>
      </c>
      <c r="L33">
        <v>0.70726900000000004</v>
      </c>
      <c r="M33">
        <v>20.154949999999999</v>
      </c>
      <c r="N33">
        <v>314567764</v>
      </c>
      <c r="O33">
        <v>19.58211</v>
      </c>
      <c r="P33">
        <v>456489583.40105462</v>
      </c>
      <c r="Q33">
        <v>1000000000</v>
      </c>
      <c r="R33">
        <v>1000000000</v>
      </c>
      <c r="S33">
        <v>37.369999999999997</v>
      </c>
      <c r="T33">
        <v>-88.725449999999995</v>
      </c>
      <c r="U33" t="s">
        <v>236</v>
      </c>
      <c r="V33">
        <v>0.87423799999999996</v>
      </c>
      <c r="W33">
        <v>381.97331000000003</v>
      </c>
      <c r="X33" t="s">
        <v>237</v>
      </c>
      <c r="Z33" t="s">
        <v>1278</v>
      </c>
      <c r="AA33">
        <v>3.2205500125068913</v>
      </c>
      <c r="AB33">
        <v>-78.932969739211799</v>
      </c>
      <c r="AC33">
        <v>-19.49840422338092</v>
      </c>
    </row>
    <row r="34" spans="1:29" x14ac:dyDescent="0.3">
      <c r="A34" t="s">
        <v>244</v>
      </c>
      <c r="B34" t="s">
        <v>245</v>
      </c>
      <c r="C34" t="s">
        <v>246</v>
      </c>
      <c r="D34" t="s">
        <v>247</v>
      </c>
      <c r="E34">
        <v>4.4132459999999998E-2</v>
      </c>
      <c r="F34">
        <v>1647579045</v>
      </c>
      <c r="G34">
        <v>33</v>
      </c>
      <c r="I34">
        <v>12511881</v>
      </c>
      <c r="J34">
        <v>4.4089469999999999E-2</v>
      </c>
      <c r="K34">
        <v>3.7464310000000001E-2</v>
      </c>
      <c r="L34">
        <v>2.90048E-3</v>
      </c>
      <c r="M34">
        <v>7.0345500000000003</v>
      </c>
      <c r="N34">
        <v>43726550</v>
      </c>
      <c r="O34">
        <v>2.72634</v>
      </c>
      <c r="P34">
        <v>0</v>
      </c>
      <c r="Q34">
        <v>5301200000</v>
      </c>
      <c r="S34">
        <v>0.55948900000000001</v>
      </c>
      <c r="T34">
        <v>-92.145700000000005</v>
      </c>
      <c r="U34" t="s">
        <v>248</v>
      </c>
      <c r="V34">
        <v>8.1196999999999997E-4</v>
      </c>
      <c r="W34">
        <v>5312.0253199999997</v>
      </c>
      <c r="X34" t="s">
        <v>249</v>
      </c>
      <c r="Z34" t="s">
        <v>1279</v>
      </c>
      <c r="AA34">
        <v>1.329672002990183</v>
      </c>
      <c r="AB34">
        <v>-90.296360723723154</v>
      </c>
      <c r="AC34">
        <v>-39.696908009962847</v>
      </c>
    </row>
    <row r="35" spans="1:29" x14ac:dyDescent="0.3">
      <c r="A35" t="s">
        <v>238</v>
      </c>
      <c r="B35" t="s">
        <v>239</v>
      </c>
      <c r="C35" t="s">
        <v>240</v>
      </c>
      <c r="D35" t="s">
        <v>241</v>
      </c>
      <c r="E35">
        <v>2.4125310000000001E-2</v>
      </c>
      <c r="F35">
        <v>1744318479</v>
      </c>
      <c r="G35">
        <v>34</v>
      </c>
      <c r="H35">
        <v>2085947583</v>
      </c>
      <c r="I35">
        <v>232397896</v>
      </c>
      <c r="J35">
        <v>2.4093340000000001E-2</v>
      </c>
      <c r="K35">
        <v>2.06199E-2</v>
      </c>
      <c r="L35">
        <v>1.8051199999999999E-3</v>
      </c>
      <c r="M35">
        <v>8.0873799999999996</v>
      </c>
      <c r="N35">
        <v>117613304</v>
      </c>
      <c r="O35">
        <v>7.2301500000000001</v>
      </c>
      <c r="P35">
        <v>72511146418</v>
      </c>
      <c r="Q35">
        <v>85985041177</v>
      </c>
      <c r="R35">
        <v>86712634466</v>
      </c>
      <c r="S35">
        <v>0.23496400000000001</v>
      </c>
      <c r="T35">
        <v>-89.787639999999996</v>
      </c>
      <c r="U35" t="s">
        <v>242</v>
      </c>
      <c r="V35">
        <v>1.7143E-3</v>
      </c>
      <c r="W35">
        <v>1299.71892</v>
      </c>
      <c r="X35" t="s">
        <v>243</v>
      </c>
      <c r="Y35" t="s">
        <v>55</v>
      </c>
      <c r="Z35" t="s">
        <v>1280</v>
      </c>
      <c r="AA35">
        <v>2.4301871796640686</v>
      </c>
      <c r="AB35">
        <v>-74.345949824162901</v>
      </c>
      <c r="AC35">
        <v>-24.944154469763639</v>
      </c>
    </row>
    <row r="36" spans="1:29" x14ac:dyDescent="0.3">
      <c r="A36" t="s">
        <v>212</v>
      </c>
      <c r="B36" t="s">
        <v>213</v>
      </c>
      <c r="C36" t="s">
        <v>214</v>
      </c>
      <c r="D36" t="s">
        <v>215</v>
      </c>
      <c r="E36">
        <v>8.0815999999999999E-2</v>
      </c>
      <c r="F36">
        <v>1739700824</v>
      </c>
      <c r="G36">
        <v>35</v>
      </c>
      <c r="H36">
        <v>4331342183</v>
      </c>
      <c r="I36">
        <v>325323222</v>
      </c>
      <c r="J36">
        <v>9.1211E-2</v>
      </c>
      <c r="K36">
        <v>4.9828409999999997E-2</v>
      </c>
      <c r="L36">
        <v>-2.3209622598832779E-3</v>
      </c>
      <c r="M36">
        <v>-2.7917299999999998</v>
      </c>
      <c r="N36">
        <v>-50145418.627750158</v>
      </c>
      <c r="O36">
        <v>-2.80166</v>
      </c>
      <c r="P36">
        <v>21476648659.851288</v>
      </c>
      <c r="Q36">
        <v>53470523779</v>
      </c>
      <c r="R36">
        <v>53470523779</v>
      </c>
      <c r="S36">
        <v>0.17243800000000001</v>
      </c>
      <c r="T36">
        <v>-52.012050000000002</v>
      </c>
      <c r="U36" t="s">
        <v>1137</v>
      </c>
      <c r="V36">
        <v>2.7512600000000002E-3</v>
      </c>
      <c r="W36">
        <v>2907.7037999999998</v>
      </c>
      <c r="X36" t="s">
        <v>1182</v>
      </c>
      <c r="Z36" t="s">
        <v>1281</v>
      </c>
      <c r="AA36">
        <v>-2.5801280922064755</v>
      </c>
      <c r="AC36">
        <v>-14.248038965900136</v>
      </c>
    </row>
    <row r="37" spans="1:29" x14ac:dyDescent="0.3">
      <c r="A37" t="s">
        <v>228</v>
      </c>
      <c r="B37" t="s">
        <v>228</v>
      </c>
      <c r="C37" t="s">
        <v>229</v>
      </c>
      <c r="D37" t="s">
        <v>230</v>
      </c>
      <c r="E37">
        <v>1.59</v>
      </c>
      <c r="F37">
        <v>1636079505</v>
      </c>
      <c r="G37">
        <v>36</v>
      </c>
      <c r="I37">
        <v>58684229</v>
      </c>
      <c r="J37">
        <v>1.59</v>
      </c>
      <c r="K37">
        <v>1.36</v>
      </c>
      <c r="L37">
        <v>0.113133</v>
      </c>
      <c r="M37">
        <v>7.66892</v>
      </c>
      <c r="N37">
        <v>99007543</v>
      </c>
      <c r="O37">
        <v>6.4413099999999996</v>
      </c>
      <c r="P37">
        <v>1036200000</v>
      </c>
      <c r="Q37">
        <v>1373338337.5966699</v>
      </c>
      <c r="S37">
        <v>35.97</v>
      </c>
      <c r="T37">
        <v>-95.603380000000001</v>
      </c>
      <c r="U37" t="s">
        <v>231</v>
      </c>
      <c r="V37">
        <v>1.36</v>
      </c>
      <c r="W37">
        <v>16.402190000000001</v>
      </c>
      <c r="X37" t="s">
        <v>1205</v>
      </c>
      <c r="Z37" t="s">
        <v>1282</v>
      </c>
      <c r="AA37">
        <v>2.8023515900423877</v>
      </c>
      <c r="AB37">
        <v>-84.424059232149105</v>
      </c>
      <c r="AC37">
        <v>-47.063762692887245</v>
      </c>
    </row>
    <row r="38" spans="1:29" x14ac:dyDescent="0.3">
      <c r="A38" t="s">
        <v>250</v>
      </c>
      <c r="B38" t="s">
        <v>251</v>
      </c>
      <c r="C38" t="s">
        <v>252</v>
      </c>
      <c r="D38" t="s">
        <v>253</v>
      </c>
      <c r="E38">
        <v>6.7571999999999993E-2</v>
      </c>
      <c r="F38">
        <v>1418548153</v>
      </c>
      <c r="G38">
        <v>37</v>
      </c>
      <c r="I38">
        <v>50598508</v>
      </c>
      <c r="J38">
        <v>6.7556000000000005E-2</v>
      </c>
      <c r="K38">
        <v>5.7845000000000001E-2</v>
      </c>
      <c r="L38">
        <v>5.2626299999999999E-3</v>
      </c>
      <c r="M38">
        <v>8.4459400000000002</v>
      </c>
      <c r="N38">
        <v>92521690</v>
      </c>
      <c r="O38">
        <v>6.97736</v>
      </c>
      <c r="P38">
        <v>21084776584.894001</v>
      </c>
      <c r="Q38">
        <v>50000000000</v>
      </c>
      <c r="S38">
        <v>0.481298</v>
      </c>
      <c r="T38">
        <v>-85.991399999999999</v>
      </c>
      <c r="U38" t="s">
        <v>254</v>
      </c>
      <c r="V38">
        <v>8.8281699999999998E-3</v>
      </c>
      <c r="W38">
        <v>663.72676999999999</v>
      </c>
      <c r="X38" t="s">
        <v>255</v>
      </c>
      <c r="Z38" t="s">
        <v>1283</v>
      </c>
      <c r="AA38">
        <v>2.0615067402632294</v>
      </c>
      <c r="AB38">
        <v>-60.599391152728835</v>
      </c>
      <c r="AC38">
        <v>-34.87229088122799</v>
      </c>
    </row>
    <row r="39" spans="1:29" x14ac:dyDescent="0.3">
      <c r="A39" t="s">
        <v>300</v>
      </c>
      <c r="B39" t="s">
        <v>300</v>
      </c>
      <c r="C39" t="s">
        <v>301</v>
      </c>
      <c r="D39" t="s">
        <v>302</v>
      </c>
      <c r="E39">
        <v>0.95479400000000003</v>
      </c>
      <c r="F39">
        <v>1405256966</v>
      </c>
      <c r="G39">
        <v>38</v>
      </c>
      <c r="H39">
        <v>1405256966</v>
      </c>
      <c r="I39">
        <v>42757029</v>
      </c>
      <c r="J39">
        <v>0.97067300000000001</v>
      </c>
      <c r="K39">
        <v>0.94979599999999997</v>
      </c>
      <c r="L39">
        <v>-6.4512690299884934E-3</v>
      </c>
      <c r="M39">
        <v>-0.67113999999999996</v>
      </c>
      <c r="N39">
        <v>-49073870.352818727</v>
      </c>
      <c r="O39">
        <v>-3.3743300000000001</v>
      </c>
      <c r="P39">
        <v>1462410175.6457</v>
      </c>
      <c r="Q39">
        <v>1462410175.6457</v>
      </c>
      <c r="R39">
        <v>1462410175.6457</v>
      </c>
      <c r="S39">
        <v>1</v>
      </c>
      <c r="T39">
        <v>-4.0903200000000002</v>
      </c>
      <c r="U39" t="s">
        <v>303</v>
      </c>
      <c r="V39">
        <v>0.77955399999999997</v>
      </c>
      <c r="W39">
        <v>23.036239999999999</v>
      </c>
      <c r="X39" t="s">
        <v>304</v>
      </c>
      <c r="Z39" t="s">
        <v>1284</v>
      </c>
      <c r="AA39">
        <v>-0.13045004722474798</v>
      </c>
      <c r="AB39">
        <v>14.442143389299405</v>
      </c>
      <c r="AC39">
        <v>-0.6646662880516</v>
      </c>
    </row>
    <row r="40" spans="1:29" x14ac:dyDescent="0.3">
      <c r="A40" t="s">
        <v>267</v>
      </c>
      <c r="B40" t="s">
        <v>268</v>
      </c>
      <c r="C40" t="s">
        <v>269</v>
      </c>
      <c r="D40" t="s">
        <v>270</v>
      </c>
      <c r="E40">
        <v>5.67</v>
      </c>
      <c r="F40">
        <v>1336151229</v>
      </c>
      <c r="G40">
        <v>39</v>
      </c>
      <c r="H40">
        <v>2613591427</v>
      </c>
      <c r="I40">
        <v>96036708</v>
      </c>
      <c r="J40">
        <v>5.62</v>
      </c>
      <c r="K40">
        <v>4.83</v>
      </c>
      <c r="L40">
        <v>0.43280200000000002</v>
      </c>
      <c r="M40">
        <v>8.2701399999999996</v>
      </c>
      <c r="N40">
        <v>91081008</v>
      </c>
      <c r="O40">
        <v>7.3153300000000003</v>
      </c>
      <c r="P40">
        <v>239877001.85282701</v>
      </c>
      <c r="Q40">
        <v>483157856.37982398</v>
      </c>
      <c r="R40">
        <v>469213710</v>
      </c>
      <c r="S40">
        <v>575.73</v>
      </c>
      <c r="T40">
        <v>-99.032430000000005</v>
      </c>
      <c r="U40" t="s">
        <v>271</v>
      </c>
      <c r="V40">
        <v>4.83</v>
      </c>
      <c r="W40">
        <v>15.335940000000001</v>
      </c>
      <c r="X40" t="s">
        <v>1206</v>
      </c>
      <c r="Z40" t="s">
        <v>1285</v>
      </c>
      <c r="AA40">
        <v>1.2053464270759913</v>
      </c>
      <c r="AB40">
        <v>-89.735409916716293</v>
      </c>
      <c r="AC40">
        <v>-35.977800708464478</v>
      </c>
    </row>
    <row r="41" spans="1:29" x14ac:dyDescent="0.3">
      <c r="A41" t="s">
        <v>261</v>
      </c>
      <c r="B41" t="s">
        <v>262</v>
      </c>
      <c r="C41" t="s">
        <v>263</v>
      </c>
      <c r="D41" t="s">
        <v>264</v>
      </c>
      <c r="E41">
        <v>1.46</v>
      </c>
      <c r="F41">
        <v>1292044852</v>
      </c>
      <c r="G41">
        <v>40</v>
      </c>
      <c r="I41">
        <v>105314107</v>
      </c>
      <c r="J41">
        <v>1.46</v>
      </c>
      <c r="K41">
        <v>1.25</v>
      </c>
      <c r="L41">
        <v>0.126688</v>
      </c>
      <c r="M41">
        <v>9.5252099999999995</v>
      </c>
      <c r="N41">
        <v>108838057</v>
      </c>
      <c r="O41">
        <v>9.1985700000000001</v>
      </c>
      <c r="P41">
        <v>890475809.30081606</v>
      </c>
      <c r="S41">
        <v>7.85</v>
      </c>
      <c r="T41">
        <v>-81.556010000000001</v>
      </c>
      <c r="U41" t="s">
        <v>265</v>
      </c>
      <c r="V41">
        <v>0.30807000000000001</v>
      </c>
      <c r="W41">
        <v>370.18407999999999</v>
      </c>
      <c r="X41" t="s">
        <v>266</v>
      </c>
      <c r="Y41" t="s">
        <v>55</v>
      </c>
      <c r="Z41" t="s">
        <v>1286</v>
      </c>
      <c r="AA41">
        <v>2.7039555346124744</v>
      </c>
      <c r="AB41">
        <v>-47.350316907988379</v>
      </c>
      <c r="AC41">
        <v>-20.837949862698235</v>
      </c>
    </row>
    <row r="42" spans="1:29" x14ac:dyDescent="0.3">
      <c r="A42" t="s">
        <v>305</v>
      </c>
      <c r="B42" t="s">
        <v>306</v>
      </c>
      <c r="C42" t="s">
        <v>307</v>
      </c>
      <c r="D42" t="s">
        <v>308</v>
      </c>
      <c r="E42">
        <v>0.86492000000000002</v>
      </c>
      <c r="F42">
        <v>1291087306</v>
      </c>
      <c r="G42">
        <v>41</v>
      </c>
      <c r="H42">
        <v>1894919412</v>
      </c>
      <c r="I42">
        <v>439229021</v>
      </c>
      <c r="J42">
        <v>0.86512999999999995</v>
      </c>
      <c r="K42">
        <v>0.72691499999999998</v>
      </c>
      <c r="L42">
        <v>0.102729</v>
      </c>
      <c r="M42">
        <v>13.47813</v>
      </c>
      <c r="N42">
        <v>146920828</v>
      </c>
      <c r="O42">
        <v>12.840859999999999</v>
      </c>
      <c r="P42">
        <v>1494621135.1411936</v>
      </c>
      <c r="Q42">
        <v>2193644527.3201499</v>
      </c>
      <c r="R42">
        <v>2193644527.3201499</v>
      </c>
      <c r="S42">
        <v>5.21</v>
      </c>
      <c r="T42">
        <v>-83.458799999999997</v>
      </c>
      <c r="U42" t="s">
        <v>309</v>
      </c>
      <c r="V42">
        <v>7.9286700000000005E-3</v>
      </c>
      <c r="W42">
        <v>10776.39516</v>
      </c>
      <c r="X42" t="s">
        <v>310</v>
      </c>
      <c r="Y42" t="s">
        <v>55</v>
      </c>
      <c r="Z42" t="s">
        <v>1287</v>
      </c>
      <c r="AA42">
        <v>2.9539616792897601</v>
      </c>
      <c r="AB42">
        <v>46.816501572061568</v>
      </c>
      <c r="AC42">
        <v>-32.687208602467976</v>
      </c>
    </row>
    <row r="43" spans="1:29" x14ac:dyDescent="0.3">
      <c r="A43" t="s">
        <v>357</v>
      </c>
      <c r="B43" t="s">
        <v>358</v>
      </c>
      <c r="C43" t="s">
        <v>359</v>
      </c>
      <c r="D43" t="s">
        <v>360</v>
      </c>
      <c r="E43">
        <v>1.26</v>
      </c>
      <c r="F43">
        <v>1251247512</v>
      </c>
      <c r="G43">
        <v>42</v>
      </c>
      <c r="I43">
        <v>110263726</v>
      </c>
      <c r="J43">
        <v>1.26</v>
      </c>
      <c r="K43">
        <v>0.98413399999999995</v>
      </c>
      <c r="L43">
        <v>0.18883</v>
      </c>
      <c r="M43">
        <v>17.599699999999999</v>
      </c>
      <c r="N43">
        <v>172533868</v>
      </c>
      <c r="O43">
        <v>15.99441</v>
      </c>
      <c r="P43">
        <v>1000000000</v>
      </c>
      <c r="Q43">
        <v>1000000000</v>
      </c>
      <c r="S43">
        <v>13.12</v>
      </c>
      <c r="T43">
        <v>-90.433279999999996</v>
      </c>
      <c r="U43" t="s">
        <v>361</v>
      </c>
      <c r="V43">
        <v>3.6141409999999999E-2</v>
      </c>
      <c r="W43">
        <v>3373.1922300000001</v>
      </c>
      <c r="X43" t="s">
        <v>362</v>
      </c>
      <c r="Y43" t="s">
        <v>55</v>
      </c>
      <c r="Z43" t="s">
        <v>1288</v>
      </c>
      <c r="AA43">
        <v>2.8693710729787578</v>
      </c>
      <c r="AB43">
        <v>-83.192319995769509</v>
      </c>
      <c r="AC43">
        <v>-10.363502391924742</v>
      </c>
    </row>
    <row r="44" spans="1:29" x14ac:dyDescent="0.3">
      <c r="A44" t="s">
        <v>278</v>
      </c>
      <c r="B44" t="s">
        <v>279</v>
      </c>
      <c r="C44" t="s">
        <v>280</v>
      </c>
      <c r="D44" t="s">
        <v>281</v>
      </c>
      <c r="E44">
        <v>5.61</v>
      </c>
      <c r="F44">
        <v>1227470168</v>
      </c>
      <c r="G44">
        <v>43</v>
      </c>
      <c r="H44">
        <v>10999713893</v>
      </c>
      <c r="I44">
        <v>281045306</v>
      </c>
      <c r="J44">
        <v>5.61</v>
      </c>
      <c r="K44">
        <v>4.87</v>
      </c>
      <c r="L44">
        <v>0.456592</v>
      </c>
      <c r="M44">
        <v>8.8667099999999994</v>
      </c>
      <c r="N44">
        <v>100626914</v>
      </c>
      <c r="O44">
        <v>8.9299800000000005</v>
      </c>
      <c r="P44">
        <v>219730708</v>
      </c>
      <c r="Q44">
        <v>1969069644</v>
      </c>
      <c r="R44">
        <v>1969070193</v>
      </c>
      <c r="S44">
        <v>201.43</v>
      </c>
      <c r="T44">
        <v>-97.226150000000004</v>
      </c>
      <c r="U44" t="s">
        <v>282</v>
      </c>
      <c r="V44">
        <v>4.84</v>
      </c>
      <c r="W44">
        <v>15.3752</v>
      </c>
      <c r="X44" t="s">
        <v>1183</v>
      </c>
      <c r="Z44" t="s">
        <v>1289</v>
      </c>
      <c r="AA44">
        <v>3.1122101419585957</v>
      </c>
      <c r="AB44">
        <v>-90.960045322024598</v>
      </c>
      <c r="AC44">
        <v>-36.372212563116925</v>
      </c>
    </row>
    <row r="45" spans="1:29" x14ac:dyDescent="0.3">
      <c r="A45" t="s">
        <v>322</v>
      </c>
      <c r="B45" t="s">
        <v>323</v>
      </c>
      <c r="C45" t="s">
        <v>324</v>
      </c>
      <c r="D45" t="s">
        <v>325</v>
      </c>
      <c r="E45">
        <v>0.957897</v>
      </c>
      <c r="F45">
        <v>1176868172</v>
      </c>
      <c r="G45">
        <v>44</v>
      </c>
      <c r="I45">
        <v>216821101</v>
      </c>
      <c r="J45">
        <v>0.99055000000000004</v>
      </c>
      <c r="K45">
        <v>0.94925800000000005</v>
      </c>
      <c r="L45">
        <v>-3.4400316415952319E-3</v>
      </c>
      <c r="M45">
        <v>-0.35783999999999999</v>
      </c>
      <c r="N45">
        <v>4797265</v>
      </c>
      <c r="O45">
        <v>0.4093</v>
      </c>
      <c r="P45">
        <v>1225684479.1804199</v>
      </c>
      <c r="Q45">
        <v>1226325431.1804199</v>
      </c>
      <c r="S45">
        <v>1.39</v>
      </c>
      <c r="T45">
        <v>-31.279150000000001</v>
      </c>
      <c r="U45" t="s">
        <v>326</v>
      </c>
      <c r="V45">
        <v>0.72703499999999999</v>
      </c>
      <c r="W45">
        <v>31.730139999999999</v>
      </c>
      <c r="X45" t="s">
        <v>327</v>
      </c>
      <c r="Z45" t="s">
        <v>1290</v>
      </c>
      <c r="AA45">
        <v>-0.30227731499788874</v>
      </c>
      <c r="AB45">
        <v>15.673210381371744</v>
      </c>
      <c r="AC45">
        <v>-0.55468254195118694</v>
      </c>
    </row>
    <row r="46" spans="1:29" x14ac:dyDescent="0.3">
      <c r="A46" t="s">
        <v>294</v>
      </c>
      <c r="B46" t="s">
        <v>295</v>
      </c>
      <c r="C46" t="s">
        <v>296</v>
      </c>
      <c r="D46" t="s">
        <v>297</v>
      </c>
      <c r="E46">
        <v>14.81</v>
      </c>
      <c r="F46">
        <v>1173545761</v>
      </c>
      <c r="G46">
        <v>45</v>
      </c>
      <c r="H46">
        <v>3956783484</v>
      </c>
      <c r="I46">
        <v>194990437</v>
      </c>
      <c r="J46">
        <v>14.82</v>
      </c>
      <c r="K46">
        <v>12.1</v>
      </c>
      <c r="L46">
        <v>1.73</v>
      </c>
      <c r="M46">
        <v>13.235519999999999</v>
      </c>
      <c r="N46">
        <v>119117392</v>
      </c>
      <c r="O46">
        <v>11.29687</v>
      </c>
      <c r="P46">
        <v>80079528.440316185</v>
      </c>
      <c r="Q46">
        <v>270000000</v>
      </c>
      <c r="R46">
        <v>270000000</v>
      </c>
      <c r="S46">
        <v>142.75</v>
      </c>
      <c r="T46">
        <v>-89.695599999999999</v>
      </c>
      <c r="U46" t="s">
        <v>298</v>
      </c>
      <c r="V46">
        <v>0.104488</v>
      </c>
      <c r="W46">
        <v>13977.666499999999</v>
      </c>
      <c r="X46" t="s">
        <v>299</v>
      </c>
      <c r="Z46" t="s">
        <v>1291</v>
      </c>
      <c r="AA46">
        <v>2.853719982208057</v>
      </c>
      <c r="AB46">
        <v>328.0325535109551</v>
      </c>
      <c r="AC46">
        <v>-33.227347899482474</v>
      </c>
    </row>
    <row r="47" spans="1:29" x14ac:dyDescent="0.3">
      <c r="A47" t="s">
        <v>283</v>
      </c>
      <c r="B47" t="s">
        <v>284</v>
      </c>
      <c r="C47" t="s">
        <v>285</v>
      </c>
      <c r="D47" t="s">
        <v>286</v>
      </c>
      <c r="E47">
        <v>51.19</v>
      </c>
      <c r="F47">
        <v>1139070126</v>
      </c>
      <c r="G47">
        <v>46</v>
      </c>
      <c r="I47">
        <v>76678107</v>
      </c>
      <c r="J47">
        <v>51.45</v>
      </c>
      <c r="K47">
        <v>39.840000000000003</v>
      </c>
      <c r="L47">
        <v>8.65</v>
      </c>
      <c r="M47">
        <v>20.34262</v>
      </c>
      <c r="N47">
        <v>183072541</v>
      </c>
      <c r="O47">
        <v>19.149899999999999</v>
      </c>
      <c r="P47">
        <v>22511689</v>
      </c>
      <c r="Q47">
        <v>23841689</v>
      </c>
      <c r="S47">
        <v>484.5</v>
      </c>
      <c r="T47">
        <v>-89.44332</v>
      </c>
      <c r="U47" t="s">
        <v>287</v>
      </c>
      <c r="V47">
        <v>5.55</v>
      </c>
      <c r="W47">
        <v>821.84258</v>
      </c>
      <c r="X47" t="s">
        <v>288</v>
      </c>
      <c r="Z47" t="s">
        <v>1292</v>
      </c>
      <c r="AA47">
        <v>3.2342861192640022</v>
      </c>
      <c r="AB47">
        <v>-31.212691385041779</v>
      </c>
      <c r="AC47">
        <v>-44.36539488427853</v>
      </c>
    </row>
    <row r="48" spans="1:29" x14ac:dyDescent="0.3">
      <c r="A48" t="s">
        <v>272</v>
      </c>
      <c r="B48" t="s">
        <v>273</v>
      </c>
      <c r="C48" t="s">
        <v>274</v>
      </c>
      <c r="D48" t="s">
        <v>275</v>
      </c>
      <c r="E48">
        <v>0.90510100000000004</v>
      </c>
      <c r="F48">
        <v>1121025689</v>
      </c>
      <c r="G48">
        <v>47</v>
      </c>
      <c r="H48">
        <v>2705472093</v>
      </c>
      <c r="I48">
        <v>419692207</v>
      </c>
      <c r="J48">
        <v>0.90671000000000002</v>
      </c>
      <c r="K48">
        <v>0.76386399999999999</v>
      </c>
      <c r="L48">
        <v>8.0112000000000003E-2</v>
      </c>
      <c r="M48">
        <v>9.7107100000000006</v>
      </c>
      <c r="N48">
        <v>92698088</v>
      </c>
      <c r="O48">
        <v>9.0144500000000001</v>
      </c>
      <c r="P48">
        <v>1243064778.2233226</v>
      </c>
      <c r="Q48">
        <v>3000000000</v>
      </c>
      <c r="R48">
        <v>3000000000</v>
      </c>
      <c r="S48">
        <v>7.49</v>
      </c>
      <c r="T48">
        <v>-87.951229999999995</v>
      </c>
      <c r="U48" t="s">
        <v>276</v>
      </c>
      <c r="V48">
        <v>2.4757709999999999E-2</v>
      </c>
      <c r="W48">
        <v>3544.7106800000001</v>
      </c>
      <c r="X48" t="s">
        <v>277</v>
      </c>
      <c r="Z48" t="s">
        <v>1293</v>
      </c>
      <c r="AA48">
        <v>1.9381812651658443</v>
      </c>
      <c r="AB48">
        <v>284.35104290682114</v>
      </c>
      <c r="AC48">
        <v>-35.502386103528124</v>
      </c>
    </row>
    <row r="49" spans="1:29" x14ac:dyDescent="0.3">
      <c r="A49" t="s">
        <v>256</v>
      </c>
      <c r="B49" t="s">
        <v>257</v>
      </c>
      <c r="C49" t="s">
        <v>258</v>
      </c>
      <c r="D49" t="s">
        <v>259</v>
      </c>
      <c r="E49">
        <v>3.89</v>
      </c>
      <c r="F49">
        <v>1104200655</v>
      </c>
      <c r="G49">
        <v>48</v>
      </c>
      <c r="H49">
        <v>3779082457</v>
      </c>
      <c r="I49">
        <v>456641130</v>
      </c>
      <c r="J49">
        <v>3.85</v>
      </c>
      <c r="K49">
        <v>2.95</v>
      </c>
      <c r="L49">
        <v>0.61456599999999995</v>
      </c>
      <c r="M49">
        <v>18.780059999999999</v>
      </c>
      <c r="N49">
        <v>143615509</v>
      </c>
      <c r="O49">
        <v>14.950839999999999</v>
      </c>
      <c r="P49">
        <v>292187500</v>
      </c>
      <c r="Q49">
        <v>1000000000</v>
      </c>
      <c r="R49">
        <v>1000000000</v>
      </c>
      <c r="S49">
        <v>25.43</v>
      </c>
      <c r="T49">
        <v>-85.429360000000003</v>
      </c>
      <c r="U49" t="s">
        <v>260</v>
      </c>
      <c r="V49">
        <v>2.95</v>
      </c>
      <c r="W49">
        <v>25.441479999999999</v>
      </c>
      <c r="X49" t="s">
        <v>1207</v>
      </c>
      <c r="Z49" t="s">
        <v>1294</v>
      </c>
      <c r="AA49">
        <v>7.9714047649818474</v>
      </c>
      <c r="AC49">
        <v>-55.461962338383209</v>
      </c>
    </row>
    <row r="50" spans="1:29" x14ac:dyDescent="0.3">
      <c r="A50" t="s">
        <v>289</v>
      </c>
      <c r="B50" t="s">
        <v>290</v>
      </c>
      <c r="C50" t="s">
        <v>1119</v>
      </c>
      <c r="D50" t="s">
        <v>291</v>
      </c>
      <c r="E50">
        <v>11.37</v>
      </c>
      <c r="F50">
        <v>1102148415</v>
      </c>
      <c r="G50">
        <v>49</v>
      </c>
      <c r="I50">
        <v>9455886</v>
      </c>
      <c r="J50">
        <v>11.47</v>
      </c>
      <c r="K50">
        <v>10.210000000000001</v>
      </c>
      <c r="L50">
        <v>0.16062899999999999</v>
      </c>
      <c r="M50">
        <v>1.4327300000000001</v>
      </c>
      <c r="N50">
        <v>606907</v>
      </c>
      <c r="O50">
        <v>5.5100000000000003E-2</v>
      </c>
      <c r="P50">
        <v>97984144.742578402</v>
      </c>
      <c r="Q50">
        <v>145484144.74249399</v>
      </c>
      <c r="S50">
        <v>25.39</v>
      </c>
      <c r="T50">
        <v>-55.651609999999998</v>
      </c>
      <c r="U50" t="s">
        <v>292</v>
      </c>
      <c r="V50">
        <v>0.30163200000000001</v>
      </c>
      <c r="W50">
        <v>3633.45388</v>
      </c>
      <c r="X50" t="s">
        <v>293</v>
      </c>
      <c r="Z50" t="s">
        <v>1295</v>
      </c>
      <c r="AA50">
        <v>3.026145109968144</v>
      </c>
      <c r="AB50">
        <v>58.483448378447058</v>
      </c>
      <c r="AC50">
        <v>-18.362695969646797</v>
      </c>
    </row>
    <row r="51" spans="1:29" x14ac:dyDescent="0.3">
      <c r="A51" t="s">
        <v>465</v>
      </c>
      <c r="B51" t="s">
        <v>466</v>
      </c>
      <c r="C51" t="s">
        <v>467</v>
      </c>
      <c r="D51" t="s">
        <v>468</v>
      </c>
      <c r="E51">
        <v>10.48</v>
      </c>
      <c r="F51">
        <v>1048691345</v>
      </c>
      <c r="G51">
        <v>50</v>
      </c>
      <c r="H51">
        <v>2326035946</v>
      </c>
      <c r="I51">
        <v>71715907</v>
      </c>
      <c r="J51">
        <v>10.5</v>
      </c>
      <c r="K51">
        <v>8.4</v>
      </c>
      <c r="L51">
        <v>1.56</v>
      </c>
      <c r="M51">
        <v>17.43357</v>
      </c>
      <c r="N51">
        <v>148696896</v>
      </c>
      <c r="O51">
        <v>16.521979999999999</v>
      </c>
      <c r="P51">
        <v>100539361.98427901</v>
      </c>
      <c r="Q51">
        <v>223000000</v>
      </c>
      <c r="R51">
        <v>223000000</v>
      </c>
      <c r="S51">
        <v>47.95</v>
      </c>
      <c r="T51">
        <v>-78.165170000000003</v>
      </c>
      <c r="U51" t="s">
        <v>469</v>
      </c>
      <c r="V51">
        <v>0.10413600000000001</v>
      </c>
      <c r="W51">
        <v>9954.6887000000006</v>
      </c>
      <c r="X51" t="s">
        <v>470</v>
      </c>
      <c r="Z51" t="s">
        <v>1296</v>
      </c>
      <c r="AA51">
        <v>3.6019509299993819</v>
      </c>
      <c r="AB51">
        <v>-5.1196417770704716</v>
      </c>
      <c r="AC51">
        <v>12.411712814724552</v>
      </c>
    </row>
    <row r="52" spans="1:29" x14ac:dyDescent="0.3">
      <c r="A52" t="s">
        <v>380</v>
      </c>
      <c r="B52" t="s">
        <v>381</v>
      </c>
      <c r="C52" t="s">
        <v>382</v>
      </c>
      <c r="D52" t="s">
        <v>383</v>
      </c>
      <c r="E52">
        <v>53.85</v>
      </c>
      <c r="F52">
        <v>1027424924</v>
      </c>
      <c r="G52">
        <v>51</v>
      </c>
      <c r="I52">
        <v>133381021</v>
      </c>
      <c r="J52">
        <v>53.97</v>
      </c>
      <c r="K52">
        <v>46.13</v>
      </c>
      <c r="L52">
        <v>3.36</v>
      </c>
      <c r="M52">
        <v>6.65252</v>
      </c>
      <c r="N52">
        <v>82293702</v>
      </c>
      <c r="O52">
        <v>8.7071199999999997</v>
      </c>
      <c r="P52">
        <v>19084882.894239001</v>
      </c>
      <c r="Q52">
        <v>21000000</v>
      </c>
      <c r="S52">
        <v>408.75</v>
      </c>
      <c r="T52">
        <v>-86.840350000000001</v>
      </c>
      <c r="U52" t="s">
        <v>384</v>
      </c>
      <c r="V52">
        <v>36.85</v>
      </c>
      <c r="W52">
        <v>45.988289999999999</v>
      </c>
      <c r="X52" t="s">
        <v>385</v>
      </c>
      <c r="Z52" t="s">
        <v>1297</v>
      </c>
      <c r="AA52">
        <v>1.8873312381478751</v>
      </c>
      <c r="AB52">
        <v>-62.578571449131424</v>
      </c>
      <c r="AC52">
        <v>1.8586594968850121</v>
      </c>
    </row>
    <row r="53" spans="1:29" x14ac:dyDescent="0.3">
      <c r="A53" t="s">
        <v>328</v>
      </c>
      <c r="B53" t="s">
        <v>328</v>
      </c>
      <c r="C53" t="s">
        <v>329</v>
      </c>
      <c r="D53" t="s">
        <v>330</v>
      </c>
      <c r="E53">
        <v>0.96991499999999997</v>
      </c>
      <c r="F53">
        <v>964503443</v>
      </c>
      <c r="G53">
        <v>52</v>
      </c>
      <c r="I53">
        <v>426444739</v>
      </c>
      <c r="J53">
        <v>0.96937700000000004</v>
      </c>
      <c r="K53">
        <v>0.82088499999999998</v>
      </c>
      <c r="L53">
        <v>8.9589000000000002E-2</v>
      </c>
      <c r="M53">
        <v>10.17679</v>
      </c>
      <c r="N53">
        <v>84775334</v>
      </c>
      <c r="O53">
        <v>9.6365400000000001</v>
      </c>
      <c r="P53">
        <v>997980213.95369995</v>
      </c>
      <c r="S53">
        <v>18.7</v>
      </c>
      <c r="T53">
        <v>-94.848500000000001</v>
      </c>
      <c r="U53" t="s">
        <v>331</v>
      </c>
      <c r="V53">
        <v>0.42746400000000001</v>
      </c>
      <c r="W53">
        <v>125.33214</v>
      </c>
      <c r="X53" t="s">
        <v>332</v>
      </c>
      <c r="Y53" t="s">
        <v>55</v>
      </c>
      <c r="Z53" t="s">
        <v>1298</v>
      </c>
      <c r="AA53">
        <v>2.7076278933897089</v>
      </c>
      <c r="AB53">
        <v>-77.838729774485685</v>
      </c>
      <c r="AC53">
        <v>-28.09349898584253</v>
      </c>
    </row>
    <row r="54" spans="1:29" x14ac:dyDescent="0.3">
      <c r="A54" t="s">
        <v>317</v>
      </c>
      <c r="B54" t="s">
        <v>317</v>
      </c>
      <c r="C54" t="s">
        <v>318</v>
      </c>
      <c r="D54" t="s">
        <v>319</v>
      </c>
      <c r="E54">
        <v>63.22</v>
      </c>
      <c r="F54">
        <v>873401812</v>
      </c>
      <c r="G54">
        <v>53</v>
      </c>
      <c r="H54">
        <v>1006364303</v>
      </c>
      <c r="I54">
        <v>245556724</v>
      </c>
      <c r="J54">
        <v>63.29</v>
      </c>
      <c r="K54">
        <v>50.91</v>
      </c>
      <c r="L54">
        <v>6.77</v>
      </c>
      <c r="M54">
        <v>12.00212</v>
      </c>
      <c r="N54">
        <v>85955736</v>
      </c>
      <c r="O54">
        <v>10.915760000000001</v>
      </c>
      <c r="P54">
        <v>13886053.937994154</v>
      </c>
      <c r="Q54">
        <v>16000000</v>
      </c>
      <c r="R54">
        <v>16000000</v>
      </c>
      <c r="S54">
        <v>541.28</v>
      </c>
      <c r="T54">
        <v>-88.361220000000003</v>
      </c>
      <c r="U54" t="s">
        <v>320</v>
      </c>
      <c r="V54">
        <v>22.1</v>
      </c>
      <c r="W54">
        <v>185.06795</v>
      </c>
      <c r="X54" t="s">
        <v>321</v>
      </c>
      <c r="Z54" t="s">
        <v>1299</v>
      </c>
      <c r="AA54">
        <v>4.5411825290332732</v>
      </c>
      <c r="AB54">
        <v>-75.920727544857684</v>
      </c>
      <c r="AC54">
        <v>-28.582649597723748</v>
      </c>
    </row>
    <row r="55" spans="1:29" x14ac:dyDescent="0.3">
      <c r="A55" t="s">
        <v>386</v>
      </c>
      <c r="B55" t="s">
        <v>387</v>
      </c>
      <c r="C55" t="s">
        <v>388</v>
      </c>
      <c r="D55" t="s">
        <v>389</v>
      </c>
      <c r="E55">
        <v>0.95832600000000001</v>
      </c>
      <c r="F55">
        <v>852532461</v>
      </c>
      <c r="G55">
        <v>54</v>
      </c>
      <c r="I55">
        <v>39611913</v>
      </c>
      <c r="J55">
        <v>0.97098200000000001</v>
      </c>
      <c r="K55">
        <v>0.95007399999999997</v>
      </c>
      <c r="L55">
        <v>-3.3901378147259691E-3</v>
      </c>
      <c r="M55">
        <v>-0.35250999999999999</v>
      </c>
      <c r="N55">
        <v>-8723388.3866450787</v>
      </c>
      <c r="O55">
        <v>-1.0128699999999999</v>
      </c>
      <c r="P55">
        <v>890366352.86000001</v>
      </c>
      <c r="Q55">
        <v>890366352.86000001</v>
      </c>
      <c r="S55">
        <v>0.99190400000000001</v>
      </c>
      <c r="T55">
        <v>-3.3470800000000001</v>
      </c>
      <c r="U55" t="s">
        <v>390</v>
      </c>
      <c r="V55">
        <v>0.70707699999999996</v>
      </c>
      <c r="W55">
        <v>35.587000000000003</v>
      </c>
      <c r="X55" t="s">
        <v>391</v>
      </c>
      <c r="Y55" t="s">
        <v>55</v>
      </c>
      <c r="Z55" t="s">
        <v>1300</v>
      </c>
      <c r="AA55">
        <v>-3.1092076659230184E-2</v>
      </c>
      <c r="AB55">
        <v>15.818335463258649</v>
      </c>
      <c r="AC55">
        <v>-0.65980237181407908</v>
      </c>
    </row>
    <row r="56" spans="1:29" x14ac:dyDescent="0.3">
      <c r="A56" t="s">
        <v>333</v>
      </c>
      <c r="B56" t="s">
        <v>334</v>
      </c>
      <c r="C56" t="s">
        <v>335</v>
      </c>
      <c r="D56" t="s">
        <v>336</v>
      </c>
      <c r="E56">
        <v>2.1889700000000002E-2</v>
      </c>
      <c r="F56">
        <v>846022734</v>
      </c>
      <c r="G56">
        <v>55</v>
      </c>
      <c r="I56">
        <v>421.73</v>
      </c>
      <c r="J56">
        <v>2.1943529999999999E-2</v>
      </c>
      <c r="K56">
        <v>2.1579520000000001E-2</v>
      </c>
      <c r="L56">
        <v>1.6676000000000001E-4</v>
      </c>
      <c r="M56">
        <v>0.76766000000000001</v>
      </c>
      <c r="N56">
        <v>-60271890.327284098</v>
      </c>
      <c r="O56">
        <v>-6.65036</v>
      </c>
      <c r="P56">
        <v>38649359127.744797</v>
      </c>
      <c r="Q56">
        <v>38649214319.170799</v>
      </c>
      <c r="S56">
        <v>4.9617410000000001E-2</v>
      </c>
      <c r="T56">
        <v>-55.883040000000001</v>
      </c>
      <c r="U56" t="s">
        <v>337</v>
      </c>
      <c r="V56">
        <v>5.15294E-3</v>
      </c>
      <c r="W56">
        <v>324.80002999999999</v>
      </c>
      <c r="X56" t="s">
        <v>338</v>
      </c>
      <c r="Z56" t="s">
        <v>1246</v>
      </c>
      <c r="AA56">
        <v>0.83035690225229353</v>
      </c>
      <c r="AB56">
        <v>19.971340573958397</v>
      </c>
      <c r="AC56">
        <v>0.2996957765471438</v>
      </c>
    </row>
    <row r="57" spans="1:29" x14ac:dyDescent="0.3">
      <c r="A57" t="s">
        <v>351</v>
      </c>
      <c r="B57" t="s">
        <v>352</v>
      </c>
      <c r="C57" t="s">
        <v>353</v>
      </c>
      <c r="D57" t="s">
        <v>354</v>
      </c>
      <c r="E57">
        <v>21673</v>
      </c>
      <c r="F57">
        <v>841415141</v>
      </c>
      <c r="G57">
        <v>56</v>
      </c>
      <c r="H57">
        <v>841415141</v>
      </c>
      <c r="I57">
        <v>5324199</v>
      </c>
      <c r="J57">
        <v>21692</v>
      </c>
      <c r="K57">
        <v>19274.93</v>
      </c>
      <c r="L57">
        <v>1516.25</v>
      </c>
      <c r="M57">
        <v>7.5221900000000002</v>
      </c>
      <c r="N57">
        <v>54894604</v>
      </c>
      <c r="O57">
        <v>6.9794200000000002</v>
      </c>
      <c r="P57">
        <v>38970.487704742001</v>
      </c>
      <c r="Q57">
        <v>38970.487704742001</v>
      </c>
      <c r="R57">
        <v>38970.487704742001</v>
      </c>
      <c r="S57">
        <v>153217</v>
      </c>
      <c r="T57">
        <v>-85.982460000000003</v>
      </c>
      <c r="U57" t="s">
        <v>355</v>
      </c>
      <c r="V57">
        <v>9486.19</v>
      </c>
      <c r="W57">
        <v>126.40552</v>
      </c>
      <c r="X57" t="s">
        <v>356</v>
      </c>
      <c r="Z57" t="s">
        <v>1301</v>
      </c>
      <c r="AA57">
        <v>3.0082220134612898</v>
      </c>
      <c r="AB57">
        <v>-35.154668067069991</v>
      </c>
      <c r="AC57">
        <v>-29.204251121436041</v>
      </c>
    </row>
    <row r="58" spans="1:29" x14ac:dyDescent="0.3">
      <c r="A58" t="s">
        <v>363</v>
      </c>
      <c r="B58" t="s">
        <v>364</v>
      </c>
      <c r="C58" t="s">
        <v>1120</v>
      </c>
      <c r="D58" t="s">
        <v>365</v>
      </c>
      <c r="E58">
        <v>5.46</v>
      </c>
      <c r="F58">
        <v>838975682</v>
      </c>
      <c r="G58">
        <v>57</v>
      </c>
      <c r="H58">
        <v>2719526726</v>
      </c>
      <c r="I58">
        <v>35256357</v>
      </c>
      <c r="J58">
        <v>5.47</v>
      </c>
      <c r="K58">
        <v>4.9000000000000004</v>
      </c>
      <c r="L58">
        <v>0.18091699999999999</v>
      </c>
      <c r="M58">
        <v>3.4247700000000001</v>
      </c>
      <c r="N58">
        <v>21482965</v>
      </c>
      <c r="O58">
        <v>2.62791</v>
      </c>
      <c r="P58">
        <v>154250310.25441208</v>
      </c>
      <c r="Q58">
        <v>500000000</v>
      </c>
      <c r="R58">
        <v>500000000</v>
      </c>
      <c r="S58">
        <v>32.840000000000003</v>
      </c>
      <c r="T58">
        <v>-83.431520000000006</v>
      </c>
      <c r="U58" t="s">
        <v>366</v>
      </c>
      <c r="V58">
        <v>0.794547</v>
      </c>
      <c r="W58">
        <v>584.76059999999995</v>
      </c>
      <c r="X58" t="s">
        <v>367</v>
      </c>
      <c r="Y58" t="s">
        <v>55</v>
      </c>
      <c r="Z58" t="s">
        <v>1302</v>
      </c>
      <c r="AA58">
        <v>1.3752608050331936</v>
      </c>
      <c r="AB58">
        <v>-55.201348705280274</v>
      </c>
      <c r="AC58">
        <v>-21.259177793588115</v>
      </c>
    </row>
    <row r="59" spans="1:29" x14ac:dyDescent="0.3">
      <c r="A59" t="s">
        <v>368</v>
      </c>
      <c r="B59" t="s">
        <v>369</v>
      </c>
      <c r="C59" t="s">
        <v>370</v>
      </c>
      <c r="D59" t="s">
        <v>371</v>
      </c>
      <c r="E59">
        <v>65.47</v>
      </c>
      <c r="F59">
        <v>819620110</v>
      </c>
      <c r="G59">
        <v>58</v>
      </c>
      <c r="H59">
        <v>1371830539</v>
      </c>
      <c r="I59">
        <v>115519263</v>
      </c>
      <c r="J59">
        <v>65.33</v>
      </c>
      <c r="K59">
        <v>55.17</v>
      </c>
      <c r="L59">
        <v>6.24</v>
      </c>
      <c r="M59">
        <v>10.53619</v>
      </c>
      <c r="N59">
        <v>75291190</v>
      </c>
      <c r="O59">
        <v>10.115309999999999</v>
      </c>
      <c r="P59">
        <v>12546755.471466299</v>
      </c>
      <c r="Q59">
        <v>21000000</v>
      </c>
      <c r="R59">
        <v>21000000</v>
      </c>
      <c r="S59">
        <v>2876.86</v>
      </c>
      <c r="T59">
        <v>-97.73348</v>
      </c>
      <c r="U59" t="s">
        <v>372</v>
      </c>
      <c r="V59">
        <v>17.670000000000002</v>
      </c>
      <c r="W59">
        <v>269.10066</v>
      </c>
      <c r="X59" t="s">
        <v>373</v>
      </c>
      <c r="Z59" t="s">
        <v>1303</v>
      </c>
      <c r="AA59">
        <v>3.3108454376045584</v>
      </c>
      <c r="AB59">
        <v>-42.771091516500483</v>
      </c>
      <c r="AC59">
        <v>-39.161804682132569</v>
      </c>
    </row>
    <row r="60" spans="1:29" x14ac:dyDescent="0.3">
      <c r="A60" t="s">
        <v>397</v>
      </c>
      <c r="B60" t="s">
        <v>398</v>
      </c>
      <c r="C60" t="s">
        <v>399</v>
      </c>
      <c r="D60" t="s">
        <v>400</v>
      </c>
      <c r="E60">
        <v>0.106055</v>
      </c>
      <c r="F60">
        <v>779263764</v>
      </c>
      <c r="G60">
        <v>59</v>
      </c>
      <c r="H60">
        <v>1053020270</v>
      </c>
      <c r="I60">
        <v>96208761</v>
      </c>
      <c r="J60">
        <v>0.10685500000000001</v>
      </c>
      <c r="K60">
        <v>8.6739999999999998E-2</v>
      </c>
      <c r="L60">
        <v>8.8445199999999998E-3</v>
      </c>
      <c r="M60">
        <v>9.0983099999999997</v>
      </c>
      <c r="N60">
        <v>53663568</v>
      </c>
      <c r="O60">
        <v>7.3957499999999996</v>
      </c>
      <c r="P60">
        <v>7400273157</v>
      </c>
      <c r="Q60">
        <v>10000000000</v>
      </c>
      <c r="R60">
        <v>10000000000</v>
      </c>
      <c r="S60">
        <v>2.34</v>
      </c>
      <c r="T60">
        <v>-95.455150000000003</v>
      </c>
      <c r="U60" t="s">
        <v>401</v>
      </c>
      <c r="V60">
        <v>8.4154999999999994E-2</v>
      </c>
      <c r="W60">
        <v>26.572189999999999</v>
      </c>
      <c r="X60" t="s">
        <v>402</v>
      </c>
      <c r="Z60" t="s">
        <v>1304</v>
      </c>
      <c r="AA60">
        <v>1.0415002335121599</v>
      </c>
      <c r="AB60">
        <v>-81.164623644272012</v>
      </c>
      <c r="AC60">
        <v>-44.667056323224955</v>
      </c>
    </row>
    <row r="61" spans="1:29" x14ac:dyDescent="0.3">
      <c r="A61" t="s">
        <v>311</v>
      </c>
      <c r="B61" t="s">
        <v>312</v>
      </c>
      <c r="C61" t="s">
        <v>313</v>
      </c>
      <c r="D61" t="s">
        <v>314</v>
      </c>
      <c r="E61">
        <v>23.89</v>
      </c>
      <c r="F61">
        <v>772755404</v>
      </c>
      <c r="G61">
        <v>60</v>
      </c>
      <c r="I61">
        <v>2127.04</v>
      </c>
      <c r="J61">
        <v>23.89</v>
      </c>
      <c r="K61">
        <v>19.7</v>
      </c>
      <c r="L61">
        <v>1.34</v>
      </c>
      <c r="M61">
        <v>5.9362000000000004</v>
      </c>
      <c r="N61">
        <v>6497868</v>
      </c>
      <c r="O61">
        <v>0.84799999999999998</v>
      </c>
      <c r="P61">
        <v>32342294.3044874</v>
      </c>
      <c r="Q61">
        <v>32300842.729228299</v>
      </c>
      <c r="S61">
        <v>86.6</v>
      </c>
      <c r="T61">
        <v>-72.411100000000005</v>
      </c>
      <c r="U61" t="s">
        <v>315</v>
      </c>
      <c r="V61">
        <v>1.69</v>
      </c>
      <c r="W61">
        <v>1315.91508</v>
      </c>
      <c r="X61" t="s">
        <v>316</v>
      </c>
      <c r="Z61" t="s">
        <v>1305</v>
      </c>
      <c r="AA61">
        <v>5.3973542470124505</v>
      </c>
      <c r="AB61">
        <v>-43.69227791322357</v>
      </c>
      <c r="AC61">
        <v>-42.004268502468193</v>
      </c>
    </row>
    <row r="62" spans="1:29" x14ac:dyDescent="0.3">
      <c r="A62" t="s">
        <v>427</v>
      </c>
      <c r="B62" t="s">
        <v>428</v>
      </c>
      <c r="C62" t="s">
        <v>429</v>
      </c>
      <c r="D62" t="s">
        <v>430</v>
      </c>
      <c r="E62">
        <v>0.92865600000000004</v>
      </c>
      <c r="F62">
        <v>751004455</v>
      </c>
      <c r="G62">
        <v>61</v>
      </c>
      <c r="I62">
        <v>16174715</v>
      </c>
      <c r="J62">
        <v>0.93265200000000004</v>
      </c>
      <c r="K62">
        <v>0.87389899999999998</v>
      </c>
      <c r="L62">
        <v>2.4622939999999999E-2</v>
      </c>
      <c r="M62">
        <v>2.7236799999999999</v>
      </c>
      <c r="N62">
        <v>11335486</v>
      </c>
      <c r="O62">
        <v>1.53251</v>
      </c>
      <c r="P62">
        <v>810031520.15136802</v>
      </c>
      <c r="Q62">
        <v>810031162.847978</v>
      </c>
      <c r="S62">
        <v>2.11</v>
      </c>
      <c r="T62">
        <v>-56.158709999999999</v>
      </c>
      <c r="U62" t="s">
        <v>431</v>
      </c>
      <c r="V62">
        <v>0.66454000000000002</v>
      </c>
      <c r="W62">
        <v>39.073230000000002</v>
      </c>
      <c r="X62" t="s">
        <v>432</v>
      </c>
      <c r="Z62" t="s">
        <v>1306</v>
      </c>
      <c r="AA62">
        <v>1.59726008334761</v>
      </c>
      <c r="AB62">
        <v>11.155260957225924</v>
      </c>
      <c r="AC62">
        <v>1.4590297245644359</v>
      </c>
    </row>
    <row r="63" spans="1:29" x14ac:dyDescent="0.3">
      <c r="A63" t="s">
        <v>421</v>
      </c>
      <c r="B63" t="s">
        <v>422</v>
      </c>
      <c r="C63" t="s">
        <v>423</v>
      </c>
      <c r="D63" t="s">
        <v>424</v>
      </c>
      <c r="E63">
        <v>0.26954800000000001</v>
      </c>
      <c r="F63">
        <v>746398875</v>
      </c>
      <c r="G63">
        <v>62</v>
      </c>
      <c r="I63">
        <v>38673510</v>
      </c>
      <c r="J63">
        <v>0.26843099999999998</v>
      </c>
      <c r="K63">
        <v>0.230351</v>
      </c>
      <c r="L63">
        <v>1.739651E-2</v>
      </c>
      <c r="M63">
        <v>6.8992300000000002</v>
      </c>
      <c r="N63">
        <v>44259678</v>
      </c>
      <c r="O63">
        <v>6.3035500000000004</v>
      </c>
      <c r="P63">
        <v>2779530283.277761</v>
      </c>
      <c r="Q63">
        <v>2779530283</v>
      </c>
      <c r="S63">
        <v>4.43</v>
      </c>
      <c r="T63">
        <v>-93.964200000000005</v>
      </c>
      <c r="U63" t="s">
        <v>425</v>
      </c>
      <c r="V63">
        <v>7.3032E-2</v>
      </c>
      <c r="W63">
        <v>266.42707999999999</v>
      </c>
      <c r="X63" t="s">
        <v>426</v>
      </c>
      <c r="Y63" t="s">
        <v>55</v>
      </c>
      <c r="Z63" t="s">
        <v>1307</v>
      </c>
      <c r="AA63">
        <v>3.5940176642591566</v>
      </c>
      <c r="AB63">
        <v>-70.978975196015455</v>
      </c>
      <c r="AC63">
        <v>-25.007817388249304</v>
      </c>
    </row>
    <row r="64" spans="1:29" x14ac:dyDescent="0.3">
      <c r="A64" t="s">
        <v>409</v>
      </c>
      <c r="B64" t="s">
        <v>410</v>
      </c>
      <c r="C64" t="s">
        <v>411</v>
      </c>
      <c r="D64" t="s">
        <v>412</v>
      </c>
      <c r="E64">
        <v>3.892E-5</v>
      </c>
      <c r="F64">
        <v>740796111</v>
      </c>
      <c r="G64">
        <v>63</v>
      </c>
      <c r="H64">
        <v>814991975</v>
      </c>
      <c r="I64">
        <v>17395155</v>
      </c>
      <c r="J64">
        <v>3.896E-5</v>
      </c>
      <c r="K64">
        <v>3.3090000000000003E-5</v>
      </c>
      <c r="L64">
        <v>3.3000000000000002E-6</v>
      </c>
      <c r="M64">
        <v>9.2527500000000007</v>
      </c>
      <c r="N64">
        <v>58831202</v>
      </c>
      <c r="O64">
        <v>8.6267200000000006</v>
      </c>
      <c r="P64">
        <v>19088185923303</v>
      </c>
      <c r="Q64">
        <v>21000000000000</v>
      </c>
      <c r="R64">
        <v>21000000000000</v>
      </c>
      <c r="S64">
        <v>3.1977999999999998E-4</v>
      </c>
      <c r="T64">
        <v>-87.905410000000003</v>
      </c>
      <c r="U64" t="s">
        <v>413</v>
      </c>
      <c r="V64">
        <v>1.5679999999999999E-5</v>
      </c>
      <c r="W64">
        <v>146.70495</v>
      </c>
      <c r="X64" t="s">
        <v>414</v>
      </c>
      <c r="Z64" t="s">
        <v>1308</v>
      </c>
      <c r="AA64">
        <v>2.4915137497403976</v>
      </c>
      <c r="AC64">
        <v>-11.022011974308654</v>
      </c>
    </row>
    <row r="65" spans="1:29" x14ac:dyDescent="0.3">
      <c r="A65" t="s">
        <v>392</v>
      </c>
      <c r="B65" t="s">
        <v>393</v>
      </c>
      <c r="C65" t="s">
        <v>394</v>
      </c>
      <c r="D65" t="s">
        <v>395</v>
      </c>
      <c r="E65">
        <v>7.9405700000000003E-7</v>
      </c>
      <c r="F65">
        <v>738875711</v>
      </c>
      <c r="G65">
        <v>64</v>
      </c>
      <c r="H65">
        <v>784832916</v>
      </c>
      <c r="I65">
        <v>63631922</v>
      </c>
      <c r="J65">
        <v>7.94823E-7</v>
      </c>
      <c r="K65">
        <v>7.0177400000000002E-7</v>
      </c>
      <c r="L65">
        <v>2.8786E-8</v>
      </c>
      <c r="M65">
        <v>3.7616000000000001</v>
      </c>
      <c r="N65">
        <v>25878836</v>
      </c>
      <c r="O65">
        <v>3.6295899999999999</v>
      </c>
      <c r="P65">
        <v>932028892857000</v>
      </c>
      <c r="Q65">
        <v>990000000000000</v>
      </c>
      <c r="R65">
        <v>990000000000000</v>
      </c>
      <c r="S65">
        <v>3.0299999999999998E-6</v>
      </c>
      <c r="T65">
        <v>-73.779449999999997</v>
      </c>
      <c r="U65" t="s">
        <v>396</v>
      </c>
      <c r="V65">
        <v>7.0177400000000002E-7</v>
      </c>
      <c r="W65">
        <v>13.187889999999999</v>
      </c>
      <c r="X65" t="s">
        <v>1208</v>
      </c>
      <c r="Z65" t="s">
        <v>1309</v>
      </c>
      <c r="AA65">
        <v>1.3331824712368685</v>
      </c>
      <c r="AC65">
        <v>-28.093060224191419</v>
      </c>
    </row>
    <row r="66" spans="1:29" x14ac:dyDescent="0.3">
      <c r="A66" t="s">
        <v>339</v>
      </c>
      <c r="B66" t="s">
        <v>340</v>
      </c>
      <c r="C66" t="s">
        <v>341</v>
      </c>
      <c r="D66" t="s">
        <v>342</v>
      </c>
      <c r="E66">
        <v>0.24743000000000001</v>
      </c>
      <c r="F66">
        <v>706447596</v>
      </c>
      <c r="G66">
        <v>65</v>
      </c>
      <c r="I66">
        <v>43022453</v>
      </c>
      <c r="J66">
        <v>0.250581</v>
      </c>
      <c r="K66">
        <v>0.21440699999999999</v>
      </c>
      <c r="L66">
        <v>1.234557E-2</v>
      </c>
      <c r="M66">
        <v>5.2515599999999996</v>
      </c>
      <c r="N66">
        <v>31228271</v>
      </c>
      <c r="O66">
        <v>4.6249099999999999</v>
      </c>
      <c r="P66">
        <v>2860743373</v>
      </c>
      <c r="S66">
        <v>3.69</v>
      </c>
      <c r="T66">
        <v>-93.29889</v>
      </c>
      <c r="U66" t="s">
        <v>343</v>
      </c>
      <c r="V66">
        <v>5.5626000000000002E-2</v>
      </c>
      <c r="W66">
        <v>344.05703999999997</v>
      </c>
      <c r="X66" t="s">
        <v>344</v>
      </c>
      <c r="Z66" t="s">
        <v>1310</v>
      </c>
      <c r="AA66">
        <v>3.5909271403361767</v>
      </c>
      <c r="AB66">
        <v>-72.300498927003915</v>
      </c>
      <c r="AC66">
        <v>-37.77754988140655</v>
      </c>
    </row>
    <row r="67" spans="1:29" x14ac:dyDescent="0.3">
      <c r="A67" t="s">
        <v>374</v>
      </c>
      <c r="B67" t="s">
        <v>375</v>
      </c>
      <c r="C67" t="s">
        <v>376</v>
      </c>
      <c r="D67" t="s">
        <v>377</v>
      </c>
      <c r="E67">
        <v>785.84</v>
      </c>
      <c r="F67">
        <v>703684267</v>
      </c>
      <c r="G67">
        <v>66</v>
      </c>
      <c r="H67">
        <v>785088339</v>
      </c>
      <c r="I67">
        <v>84783591</v>
      </c>
      <c r="J67">
        <v>785.16</v>
      </c>
      <c r="K67">
        <v>656.47</v>
      </c>
      <c r="L67">
        <v>57.41</v>
      </c>
      <c r="M67">
        <v>7.8811900000000001</v>
      </c>
      <c r="N67">
        <v>43766268</v>
      </c>
      <c r="O67">
        <v>6.6320800000000002</v>
      </c>
      <c r="P67">
        <v>901310.94728931319</v>
      </c>
      <c r="Q67">
        <v>977631.036950888</v>
      </c>
      <c r="R67">
        <v>1005577</v>
      </c>
      <c r="S67">
        <v>5215.6099999999997</v>
      </c>
      <c r="T67">
        <v>-84.987279999999998</v>
      </c>
      <c r="U67" t="s">
        <v>378</v>
      </c>
      <c r="V67">
        <v>150.74</v>
      </c>
      <c r="W67">
        <v>419.43414000000001</v>
      </c>
      <c r="X67" t="s">
        <v>379</v>
      </c>
      <c r="Z67" t="s">
        <v>1311</v>
      </c>
      <c r="AA67">
        <v>2.8358098080460792</v>
      </c>
      <c r="AB67">
        <v>-70.302672328680487</v>
      </c>
      <c r="AC67">
        <v>-47.681387369391757</v>
      </c>
    </row>
    <row r="68" spans="1:29" x14ac:dyDescent="0.3">
      <c r="A68" t="s">
        <v>498</v>
      </c>
      <c r="B68" t="s">
        <v>498</v>
      </c>
      <c r="C68" t="s">
        <v>499</v>
      </c>
      <c r="D68" t="s">
        <v>500</v>
      </c>
      <c r="E68">
        <v>0.93302099999999999</v>
      </c>
      <c r="F68">
        <v>673142759</v>
      </c>
      <c r="G68">
        <v>67</v>
      </c>
      <c r="I68">
        <v>144555420</v>
      </c>
      <c r="J68">
        <v>0.94981300000000002</v>
      </c>
      <c r="K68">
        <v>0.914157</v>
      </c>
      <c r="L68">
        <v>-6.4732296705970471E-3</v>
      </c>
      <c r="M68">
        <v>-0.68901000000000001</v>
      </c>
      <c r="N68">
        <v>-7078643.0111942291</v>
      </c>
      <c r="O68">
        <v>-1.04064</v>
      </c>
      <c r="P68">
        <v>723321764.61000001</v>
      </c>
      <c r="S68">
        <v>0.98453900000000005</v>
      </c>
      <c r="T68">
        <v>-5.3621800000000004</v>
      </c>
      <c r="U68" t="s">
        <v>501</v>
      </c>
      <c r="V68">
        <v>0.914157</v>
      </c>
      <c r="W68">
        <v>1.9240699999999999</v>
      </c>
      <c r="X68" t="s">
        <v>1209</v>
      </c>
      <c r="Z68" t="s">
        <v>1312</v>
      </c>
      <c r="AA68">
        <v>1.846847469485512E-2</v>
      </c>
      <c r="AC68">
        <v>-3.0206429204750354</v>
      </c>
    </row>
    <row r="69" spans="1:29" x14ac:dyDescent="0.3">
      <c r="A69" t="s">
        <v>438</v>
      </c>
      <c r="B69" t="s">
        <v>439</v>
      </c>
      <c r="C69" t="s">
        <v>440</v>
      </c>
      <c r="D69" t="s">
        <v>441</v>
      </c>
      <c r="E69">
        <v>6.6822999999999994E-2</v>
      </c>
      <c r="F69">
        <v>665288829</v>
      </c>
      <c r="G69">
        <v>68</v>
      </c>
      <c r="H69">
        <v>1611603661</v>
      </c>
      <c r="I69">
        <v>464039</v>
      </c>
      <c r="J69">
        <v>6.8661E-2</v>
      </c>
      <c r="K69">
        <v>5.4406999999999997E-2</v>
      </c>
      <c r="L69">
        <v>7.2986800000000001E-3</v>
      </c>
      <c r="M69">
        <v>12.26168</v>
      </c>
      <c r="N69">
        <v>76161680</v>
      </c>
      <c r="O69">
        <v>12.92788</v>
      </c>
      <c r="P69">
        <v>9907480530.2945004</v>
      </c>
      <c r="Q69">
        <v>12307503602.493299</v>
      </c>
      <c r="R69">
        <v>24000000000</v>
      </c>
      <c r="S69">
        <v>0.56872299999999998</v>
      </c>
      <c r="T69">
        <v>-87.954669999999993</v>
      </c>
      <c r="U69" t="s">
        <v>442</v>
      </c>
      <c r="V69">
        <v>5.4406999999999997E-2</v>
      </c>
      <c r="W69">
        <v>25.911069999999999</v>
      </c>
      <c r="X69" t="s">
        <v>1210</v>
      </c>
      <c r="Z69" t="s">
        <v>1313</v>
      </c>
      <c r="AA69">
        <v>1.5328088238519009</v>
      </c>
      <c r="AC69">
        <v>-23.967706872694507</v>
      </c>
    </row>
    <row r="70" spans="1:29" x14ac:dyDescent="0.3">
      <c r="A70" t="s">
        <v>455</v>
      </c>
      <c r="B70" t="s">
        <v>455</v>
      </c>
      <c r="C70" t="s">
        <v>456</v>
      </c>
      <c r="D70" t="s">
        <v>457</v>
      </c>
      <c r="E70">
        <v>9.42</v>
      </c>
      <c r="F70">
        <v>662851797</v>
      </c>
      <c r="G70">
        <v>69</v>
      </c>
      <c r="I70">
        <v>124589218</v>
      </c>
      <c r="J70">
        <v>9.52</v>
      </c>
      <c r="K70">
        <v>8.11</v>
      </c>
      <c r="L70">
        <v>0.42735400000000001</v>
      </c>
      <c r="M70">
        <v>4.7532399999999999</v>
      </c>
      <c r="N70">
        <v>25719730</v>
      </c>
      <c r="O70">
        <v>4.0368000000000004</v>
      </c>
      <c r="P70">
        <v>70530000</v>
      </c>
      <c r="Q70">
        <v>100000000</v>
      </c>
      <c r="S70">
        <v>161.76</v>
      </c>
      <c r="T70">
        <v>-94.187399999999997</v>
      </c>
      <c r="U70" t="s">
        <v>458</v>
      </c>
      <c r="V70">
        <v>7.1684999999999999E-2</v>
      </c>
      <c r="W70">
        <v>13016.18872</v>
      </c>
      <c r="X70" t="s">
        <v>459</v>
      </c>
      <c r="Y70" t="s">
        <v>55</v>
      </c>
      <c r="Z70" t="s">
        <v>1314</v>
      </c>
      <c r="AA70">
        <v>2.9022635136219268</v>
      </c>
      <c r="AB70">
        <v>-77.558057042444744</v>
      </c>
      <c r="AC70">
        <v>-11.245379220673016</v>
      </c>
    </row>
    <row r="71" spans="1:29" x14ac:dyDescent="0.3">
      <c r="A71" t="s">
        <v>415</v>
      </c>
      <c r="B71" t="s">
        <v>416</v>
      </c>
      <c r="C71" t="s">
        <v>417</v>
      </c>
      <c r="D71" t="s">
        <v>418</v>
      </c>
      <c r="E71">
        <v>48.66</v>
      </c>
      <c r="F71">
        <v>647053434</v>
      </c>
      <c r="G71">
        <v>70</v>
      </c>
      <c r="H71">
        <v>704867793</v>
      </c>
      <c r="I71">
        <v>45784921</v>
      </c>
      <c r="J71">
        <v>48.43</v>
      </c>
      <c r="K71">
        <v>40.93</v>
      </c>
      <c r="L71">
        <v>4.0599999999999996</v>
      </c>
      <c r="M71">
        <v>9.0972899999999992</v>
      </c>
      <c r="N71">
        <v>45101176</v>
      </c>
      <c r="O71">
        <v>7.4924799999999996</v>
      </c>
      <c r="P71">
        <v>13413953.469289193</v>
      </c>
      <c r="Q71">
        <v>14612493</v>
      </c>
      <c r="R71">
        <v>14612493</v>
      </c>
      <c r="S71">
        <v>361.77</v>
      </c>
      <c r="T71">
        <v>-86.716269999999994</v>
      </c>
      <c r="U71" t="s">
        <v>419</v>
      </c>
      <c r="V71">
        <v>0.18622900000000001</v>
      </c>
      <c r="W71">
        <v>25705.176749999999</v>
      </c>
      <c r="X71" t="s">
        <v>420</v>
      </c>
      <c r="Y71" t="s">
        <v>55</v>
      </c>
      <c r="Z71" t="s">
        <v>1315</v>
      </c>
      <c r="AA71">
        <v>2.7098361373474811</v>
      </c>
      <c r="AB71">
        <v>-3.1487574083199736</v>
      </c>
      <c r="AC71">
        <v>-32.847367876393584</v>
      </c>
    </row>
    <row r="72" spans="1:29" x14ac:dyDescent="0.3">
      <c r="A72" t="s">
        <v>433</v>
      </c>
      <c r="B72" t="s">
        <v>434</v>
      </c>
      <c r="C72" t="s">
        <v>1146</v>
      </c>
      <c r="D72" t="s">
        <v>435</v>
      </c>
      <c r="E72">
        <v>4.1900000000000004</v>
      </c>
      <c r="F72">
        <v>615352464</v>
      </c>
      <c r="G72">
        <v>71</v>
      </c>
      <c r="I72">
        <v>5304468</v>
      </c>
      <c r="J72">
        <v>4.28</v>
      </c>
      <c r="K72">
        <v>3.83</v>
      </c>
      <c r="L72">
        <v>-6.0699662193748347E-3</v>
      </c>
      <c r="M72">
        <v>-0.14477000000000001</v>
      </c>
      <c r="N72">
        <v>-5587495.3537513018</v>
      </c>
      <c r="O72">
        <v>-0.89983999999999997</v>
      </c>
      <c r="P72">
        <v>148515368.63458443</v>
      </c>
      <c r="Q72">
        <v>300000000</v>
      </c>
      <c r="S72">
        <v>10.69</v>
      </c>
      <c r="T72">
        <v>-61.16245</v>
      </c>
      <c r="U72" t="s">
        <v>436</v>
      </c>
      <c r="V72">
        <v>0.23032</v>
      </c>
      <c r="W72">
        <v>1703.33563</v>
      </c>
      <c r="X72" t="s">
        <v>437</v>
      </c>
      <c r="Z72" t="s">
        <v>1316</v>
      </c>
      <c r="AA72">
        <v>2.0738495471718315</v>
      </c>
      <c r="AB72">
        <v>21.644268292826656</v>
      </c>
      <c r="AC72">
        <v>-21.796288219167455</v>
      </c>
    </row>
    <row r="73" spans="1:29" x14ac:dyDescent="0.3">
      <c r="A73" t="s">
        <v>345</v>
      </c>
      <c r="B73" t="s">
        <v>346</v>
      </c>
      <c r="C73" t="s">
        <v>347</v>
      </c>
      <c r="D73" t="s">
        <v>348</v>
      </c>
      <c r="E73">
        <v>1.1499999999999999</v>
      </c>
      <c r="F73">
        <v>615191104</v>
      </c>
      <c r="G73">
        <v>72</v>
      </c>
      <c r="I73">
        <v>44611568</v>
      </c>
      <c r="J73">
        <v>1.23</v>
      </c>
      <c r="K73">
        <v>1.0409999999999999</v>
      </c>
      <c r="L73">
        <v>-4.5905798925944152E-2</v>
      </c>
      <c r="M73">
        <v>-3.8313799999999998</v>
      </c>
      <c r="N73">
        <v>-26857138.663704395</v>
      </c>
      <c r="O73">
        <v>-4.1830400000000001</v>
      </c>
      <c r="P73">
        <v>535388333.281524</v>
      </c>
      <c r="Q73">
        <v>1200000000</v>
      </c>
      <c r="S73">
        <v>4.97</v>
      </c>
      <c r="T73">
        <v>-77.005529999999993</v>
      </c>
      <c r="U73" t="s">
        <v>349</v>
      </c>
      <c r="V73">
        <v>0.14312900000000001</v>
      </c>
      <c r="W73">
        <v>698.63935000000004</v>
      </c>
      <c r="X73" t="s">
        <v>350</v>
      </c>
      <c r="Z73" t="s">
        <v>1317</v>
      </c>
      <c r="AA73">
        <v>2.6534364909628714</v>
      </c>
      <c r="AB73">
        <v>-54.276217571475591</v>
      </c>
      <c r="AC73">
        <v>-62.344069827426033</v>
      </c>
    </row>
    <row r="74" spans="1:29" x14ac:dyDescent="0.3">
      <c r="A74" t="s">
        <v>403</v>
      </c>
      <c r="B74" t="s">
        <v>404</v>
      </c>
      <c r="C74" t="s">
        <v>405</v>
      </c>
      <c r="D74" t="s">
        <v>406</v>
      </c>
      <c r="E74">
        <v>0.24113000000000001</v>
      </c>
      <c r="F74">
        <v>610738286</v>
      </c>
      <c r="G74">
        <v>73</v>
      </c>
      <c r="H74">
        <v>763076549</v>
      </c>
      <c r="I74">
        <v>395850011</v>
      </c>
      <c r="J74">
        <v>0.24155499999999999</v>
      </c>
      <c r="K74">
        <v>0.201373</v>
      </c>
      <c r="L74">
        <v>2.1610979999999998E-2</v>
      </c>
      <c r="M74">
        <v>9.8446899999999999</v>
      </c>
      <c r="N74">
        <v>49750903</v>
      </c>
      <c r="O74">
        <v>8.8684499999999993</v>
      </c>
      <c r="P74">
        <v>2541152731.0100002</v>
      </c>
      <c r="Q74">
        <v>3175000000</v>
      </c>
      <c r="R74">
        <v>3175000000</v>
      </c>
      <c r="S74">
        <v>2.98</v>
      </c>
      <c r="T74">
        <v>-91.957310000000007</v>
      </c>
      <c r="U74" t="s">
        <v>407</v>
      </c>
      <c r="V74">
        <v>1.7017600000000001E-3</v>
      </c>
      <c r="W74">
        <v>13985.43432</v>
      </c>
      <c r="X74" t="s">
        <v>408</v>
      </c>
      <c r="Y74" t="s">
        <v>55</v>
      </c>
      <c r="Z74" t="s">
        <v>1318</v>
      </c>
      <c r="AA74">
        <v>2.23368379425626</v>
      </c>
      <c r="AB74">
        <v>-2.6334173958289191</v>
      </c>
      <c r="AC74">
        <v>-36.471763130364934</v>
      </c>
    </row>
    <row r="75" spans="1:29" x14ac:dyDescent="0.3">
      <c r="A75" t="s">
        <v>492</v>
      </c>
      <c r="B75" t="s">
        <v>493</v>
      </c>
      <c r="C75" t="s">
        <v>494</v>
      </c>
      <c r="D75" t="s">
        <v>495</v>
      </c>
      <c r="E75">
        <v>1761.48</v>
      </c>
      <c r="F75">
        <v>591069948</v>
      </c>
      <c r="G75">
        <v>74</v>
      </c>
      <c r="I75">
        <v>72572389</v>
      </c>
      <c r="J75">
        <v>1793.07</v>
      </c>
      <c r="K75">
        <v>1728.69</v>
      </c>
      <c r="L75">
        <v>21.74</v>
      </c>
      <c r="M75">
        <v>1.2498</v>
      </c>
      <c r="N75">
        <v>9828352</v>
      </c>
      <c r="O75">
        <v>1.69092</v>
      </c>
      <c r="P75">
        <v>334821.31800000003</v>
      </c>
      <c r="Q75">
        <v>334821.31800000003</v>
      </c>
      <c r="S75">
        <v>1923.96</v>
      </c>
      <c r="T75">
        <v>-8.3185300000000009</v>
      </c>
      <c r="U75" t="s">
        <v>496</v>
      </c>
      <c r="V75">
        <v>1265.28</v>
      </c>
      <c r="W75">
        <v>39.408410000000003</v>
      </c>
      <c r="X75" t="s">
        <v>497</v>
      </c>
      <c r="Z75" t="s">
        <v>1319</v>
      </c>
      <c r="AA75">
        <v>-0.40659853954455938</v>
      </c>
      <c r="AB75">
        <v>13.802322107765097</v>
      </c>
      <c r="AC75">
        <v>0.95408010173902036</v>
      </c>
    </row>
    <row r="76" spans="1:29" x14ac:dyDescent="0.3">
      <c r="A76" t="s">
        <v>460</v>
      </c>
      <c r="B76" t="s">
        <v>460</v>
      </c>
      <c r="C76" t="s">
        <v>461</v>
      </c>
      <c r="D76" t="s">
        <v>462</v>
      </c>
      <c r="E76">
        <v>2.1272869999999999E-2</v>
      </c>
      <c r="F76">
        <v>583752411</v>
      </c>
      <c r="G76">
        <v>75</v>
      </c>
      <c r="I76">
        <v>1747.53</v>
      </c>
      <c r="J76">
        <v>2.139771E-2</v>
      </c>
      <c r="K76">
        <v>2.1023590000000002E-2</v>
      </c>
      <c r="L76">
        <v>1.1085E-4</v>
      </c>
      <c r="M76">
        <v>0.52380000000000004</v>
      </c>
      <c r="N76">
        <v>-14399124.499792697</v>
      </c>
      <c r="O76">
        <v>-2.40727</v>
      </c>
      <c r="P76">
        <v>27441168070.742001</v>
      </c>
      <c r="Q76">
        <v>27441168070.742001</v>
      </c>
      <c r="S76">
        <v>2.6750389999999999E-2</v>
      </c>
      <c r="T76">
        <v>-20.476400000000002</v>
      </c>
      <c r="U76" t="s">
        <v>463</v>
      </c>
      <c r="V76">
        <v>6.6080799999999997E-3</v>
      </c>
      <c r="W76">
        <v>221.9222</v>
      </c>
      <c r="X76" t="s">
        <v>464</v>
      </c>
      <c r="Z76" t="s">
        <v>1320</v>
      </c>
      <c r="AA76">
        <v>0.81266287484930455</v>
      </c>
      <c r="AB76">
        <v>19.583705793348287</v>
      </c>
      <c r="AC76">
        <v>0.38101155731466674</v>
      </c>
    </row>
    <row r="77" spans="1:29" x14ac:dyDescent="0.3">
      <c r="A77" t="s">
        <v>449</v>
      </c>
      <c r="B77" t="s">
        <v>450</v>
      </c>
      <c r="C77" t="s">
        <v>451</v>
      </c>
      <c r="D77" t="s">
        <v>452</v>
      </c>
      <c r="E77">
        <v>1.91</v>
      </c>
      <c r="F77">
        <v>572048617</v>
      </c>
      <c r="G77">
        <v>76</v>
      </c>
      <c r="H77">
        <v>951020406</v>
      </c>
      <c r="I77">
        <v>114492767</v>
      </c>
      <c r="J77">
        <v>1.91</v>
      </c>
      <c r="K77">
        <v>1.59</v>
      </c>
      <c r="L77">
        <v>0.13390099999999999</v>
      </c>
      <c r="M77">
        <v>7.53071</v>
      </c>
      <c r="N77">
        <v>36405916</v>
      </c>
      <c r="O77">
        <v>6.7966800000000003</v>
      </c>
      <c r="P77">
        <v>300755174.93867052</v>
      </c>
      <c r="Q77">
        <v>500000000</v>
      </c>
      <c r="R77">
        <v>500000000</v>
      </c>
      <c r="S77">
        <v>17.07</v>
      </c>
      <c r="T77">
        <v>-88.938940000000002</v>
      </c>
      <c r="U77" t="s">
        <v>453</v>
      </c>
      <c r="V77">
        <v>7.7801700000000003E-3</v>
      </c>
      <c r="W77">
        <v>24165.407889999999</v>
      </c>
      <c r="X77" t="s">
        <v>454</v>
      </c>
      <c r="Y77" t="s">
        <v>55</v>
      </c>
      <c r="Z77" t="s">
        <v>1321</v>
      </c>
      <c r="AA77">
        <v>4.4209095780179837</v>
      </c>
      <c r="AB77">
        <v>-74.175212888444904</v>
      </c>
      <c r="AC77">
        <v>-47.033748541321394</v>
      </c>
    </row>
    <row r="78" spans="1:29" x14ac:dyDescent="0.3">
      <c r="A78" t="s">
        <v>512</v>
      </c>
      <c r="B78" t="s">
        <v>513</v>
      </c>
      <c r="C78" t="s">
        <v>514</v>
      </c>
      <c r="D78" t="s">
        <v>515</v>
      </c>
      <c r="E78">
        <v>9.7077999999999998E-2</v>
      </c>
      <c r="F78">
        <v>508431190</v>
      </c>
      <c r="G78">
        <v>77</v>
      </c>
      <c r="H78">
        <v>845683709</v>
      </c>
      <c r="I78">
        <v>101948268</v>
      </c>
      <c r="J78">
        <v>9.7087999999999994E-2</v>
      </c>
      <c r="K78">
        <v>8.2700999999999997E-2</v>
      </c>
      <c r="L78">
        <v>9.1903000000000002E-3</v>
      </c>
      <c r="M78">
        <v>10.456899999999999</v>
      </c>
      <c r="N78">
        <v>36216645</v>
      </c>
      <c r="O78">
        <v>7.66953</v>
      </c>
      <c r="P78">
        <v>5344064580</v>
      </c>
      <c r="Q78">
        <v>8888888888</v>
      </c>
      <c r="R78">
        <v>8888888888</v>
      </c>
      <c r="S78">
        <v>0.73505799999999999</v>
      </c>
      <c r="T78">
        <v>-87.069720000000004</v>
      </c>
      <c r="U78" t="s">
        <v>516</v>
      </c>
      <c r="V78">
        <v>3.7553299999999999E-3</v>
      </c>
      <c r="W78">
        <v>2430.9409999999998</v>
      </c>
      <c r="X78" t="s">
        <v>454</v>
      </c>
      <c r="Y78" t="s">
        <v>55</v>
      </c>
      <c r="Z78" t="s">
        <v>1322</v>
      </c>
      <c r="AA78">
        <v>4.038693263995154</v>
      </c>
      <c r="AB78">
        <v>-58.257032773067685</v>
      </c>
      <c r="AC78">
        <v>-19.550970881930137</v>
      </c>
    </row>
    <row r="79" spans="1:29" x14ac:dyDescent="0.3">
      <c r="A79" t="s">
        <v>566</v>
      </c>
      <c r="B79" t="s">
        <v>567</v>
      </c>
      <c r="C79" t="s">
        <v>1123</v>
      </c>
      <c r="D79" t="s">
        <v>568</v>
      </c>
      <c r="E79">
        <v>0.34162500000000001</v>
      </c>
      <c r="F79">
        <v>508034958</v>
      </c>
      <c r="G79">
        <v>78</v>
      </c>
      <c r="H79">
        <v>509151252</v>
      </c>
      <c r="I79">
        <v>259971594</v>
      </c>
      <c r="J79">
        <v>0.34344000000000002</v>
      </c>
      <c r="K79">
        <v>0.263511</v>
      </c>
      <c r="L79">
        <v>7.3385000000000006E-2</v>
      </c>
      <c r="M79">
        <v>27.358059999999998</v>
      </c>
      <c r="N79">
        <v>107444308</v>
      </c>
      <c r="O79">
        <v>26.821470000000001</v>
      </c>
      <c r="P79">
        <v>1496711310.0663347</v>
      </c>
      <c r="Q79">
        <v>1500000000</v>
      </c>
      <c r="R79">
        <v>1500000000</v>
      </c>
      <c r="S79">
        <v>1.68</v>
      </c>
      <c r="T79">
        <v>-79.683030000000002</v>
      </c>
      <c r="U79" t="s">
        <v>569</v>
      </c>
      <c r="V79">
        <v>6.3115000000000004E-2</v>
      </c>
      <c r="W79">
        <v>440.45792</v>
      </c>
      <c r="X79" t="s">
        <v>570</v>
      </c>
      <c r="Y79" t="s">
        <v>55</v>
      </c>
      <c r="Z79" t="s">
        <v>1323</v>
      </c>
      <c r="AA79">
        <v>-7.4271466029501992E-2</v>
      </c>
      <c r="AB79">
        <v>-38.342880772565323</v>
      </c>
      <c r="AC79">
        <v>-18.058062396375991</v>
      </c>
    </row>
    <row r="80" spans="1:29" x14ac:dyDescent="0.3">
      <c r="A80" t="s">
        <v>476</v>
      </c>
      <c r="B80" t="s">
        <v>477</v>
      </c>
      <c r="C80" t="s">
        <v>478</v>
      </c>
      <c r="D80" t="s">
        <v>479</v>
      </c>
      <c r="E80">
        <v>3.4900670000000002E-2</v>
      </c>
      <c r="F80">
        <v>502977781</v>
      </c>
      <c r="G80">
        <v>79</v>
      </c>
      <c r="I80">
        <v>157516095</v>
      </c>
      <c r="J80">
        <v>3.4806429999999999E-2</v>
      </c>
      <c r="K80">
        <v>2.9109400000000001E-2</v>
      </c>
      <c r="L80">
        <v>3.0692200000000001E-3</v>
      </c>
      <c r="M80">
        <v>9.6420899999999996</v>
      </c>
      <c r="N80">
        <v>44602324</v>
      </c>
      <c r="O80">
        <v>9.7305200000000003</v>
      </c>
      <c r="P80">
        <v>14460545050.013399</v>
      </c>
      <c r="Q80">
        <v>21000000000</v>
      </c>
      <c r="S80">
        <v>0.21195</v>
      </c>
      <c r="T80">
        <v>-83.604969999999994</v>
      </c>
      <c r="U80" t="s">
        <v>480</v>
      </c>
      <c r="V80">
        <v>2.1435899999999999E-3</v>
      </c>
      <c r="W80">
        <v>1521.07412</v>
      </c>
      <c r="X80" t="s">
        <v>481</v>
      </c>
      <c r="Y80" t="s">
        <v>55</v>
      </c>
      <c r="Z80" t="s">
        <v>1324</v>
      </c>
      <c r="AA80">
        <v>3.1229163394710673</v>
      </c>
      <c r="AB80">
        <v>-61.847329121352104</v>
      </c>
      <c r="AC80">
        <v>-34.119471628768991</v>
      </c>
    </row>
    <row r="81" spans="1:29" x14ac:dyDescent="0.3">
      <c r="A81" t="s">
        <v>917</v>
      </c>
      <c r="B81" t="s">
        <v>918</v>
      </c>
      <c r="C81" t="s">
        <v>919</v>
      </c>
      <c r="D81" t="s">
        <v>920</v>
      </c>
      <c r="E81">
        <v>2.4900000000000002</v>
      </c>
      <c r="F81">
        <v>494940548</v>
      </c>
      <c r="G81">
        <v>80</v>
      </c>
      <c r="H81">
        <v>494940696</v>
      </c>
      <c r="I81">
        <v>768605</v>
      </c>
      <c r="J81">
        <v>2.5099999999999998</v>
      </c>
      <c r="K81">
        <v>2.11</v>
      </c>
      <c r="L81">
        <v>0.211925</v>
      </c>
      <c r="M81">
        <v>9.2919099999999997</v>
      </c>
      <c r="N81">
        <v>294415589</v>
      </c>
      <c r="O81">
        <v>146.82241999999999</v>
      </c>
      <c r="P81">
        <v>197278343.90000001</v>
      </c>
      <c r="Q81">
        <v>197278289.69999999</v>
      </c>
      <c r="R81">
        <v>197278402.90000001</v>
      </c>
      <c r="S81">
        <v>5.31</v>
      </c>
      <c r="T81">
        <v>-53.465229999999998</v>
      </c>
      <c r="U81" t="s">
        <v>921</v>
      </c>
      <c r="V81">
        <v>0.22090000000000001</v>
      </c>
      <c r="W81">
        <v>1019.08633</v>
      </c>
      <c r="X81" t="s">
        <v>1166</v>
      </c>
      <c r="Z81" t="s">
        <v>1325</v>
      </c>
      <c r="AA81">
        <v>3.8464772853897671</v>
      </c>
      <c r="AB81">
        <v>15.206858215769628</v>
      </c>
      <c r="AC81">
        <v>6.997023228416853</v>
      </c>
    </row>
    <row r="82" spans="1:29" x14ac:dyDescent="0.3">
      <c r="A82" t="s">
        <v>506</v>
      </c>
      <c r="B82" t="s">
        <v>507</v>
      </c>
      <c r="C82" t="s">
        <v>508</v>
      </c>
      <c r="D82" t="s">
        <v>509</v>
      </c>
      <c r="E82">
        <v>54.18</v>
      </c>
      <c r="F82">
        <v>485482666</v>
      </c>
      <c r="G82">
        <v>81</v>
      </c>
      <c r="H82">
        <v>540620672</v>
      </c>
      <c r="I82">
        <v>94636597</v>
      </c>
      <c r="J82">
        <v>54.24</v>
      </c>
      <c r="K82">
        <v>45.46</v>
      </c>
      <c r="L82">
        <v>6.14</v>
      </c>
      <c r="M82">
        <v>12.79224</v>
      </c>
      <c r="N82">
        <v>53716054</v>
      </c>
      <c r="O82">
        <v>12.440989999999999</v>
      </c>
      <c r="P82">
        <v>8980098.0741123389</v>
      </c>
      <c r="Q82">
        <v>10000000</v>
      </c>
      <c r="R82">
        <v>10000000</v>
      </c>
      <c r="S82">
        <v>511.09</v>
      </c>
      <c r="T82">
        <v>-89.487530000000007</v>
      </c>
      <c r="U82" t="s">
        <v>510</v>
      </c>
      <c r="V82">
        <v>0.787466</v>
      </c>
      <c r="W82">
        <v>6722.8890300000003</v>
      </c>
      <c r="X82" t="s">
        <v>511</v>
      </c>
      <c r="Z82" t="s">
        <v>1326</v>
      </c>
      <c r="AA82">
        <v>3.5311955763221019</v>
      </c>
      <c r="AB82">
        <v>-84.751084185668645</v>
      </c>
      <c r="AC82">
        <v>-29.568424274703624</v>
      </c>
    </row>
    <row r="83" spans="1:29" x14ac:dyDescent="0.3">
      <c r="A83" t="s">
        <v>653</v>
      </c>
      <c r="B83" t="s">
        <v>653</v>
      </c>
      <c r="C83" t="s">
        <v>654</v>
      </c>
      <c r="D83" t="s">
        <v>655</v>
      </c>
      <c r="E83">
        <v>4.84</v>
      </c>
      <c r="F83">
        <v>479781823</v>
      </c>
      <c r="G83">
        <v>82</v>
      </c>
      <c r="I83">
        <v>388454473</v>
      </c>
      <c r="J83">
        <v>4.84</v>
      </c>
      <c r="K83">
        <v>4.01</v>
      </c>
      <c r="L83">
        <v>0.30236499999999999</v>
      </c>
      <c r="M83">
        <v>6.6572300000000002</v>
      </c>
      <c r="N83">
        <v>26296839</v>
      </c>
      <c r="O83">
        <v>5.7988299999999997</v>
      </c>
      <c r="P83">
        <v>100000000</v>
      </c>
      <c r="Q83">
        <v>100000000</v>
      </c>
      <c r="S83">
        <v>55.32</v>
      </c>
      <c r="T83">
        <v>-91.3245</v>
      </c>
      <c r="U83" t="s">
        <v>656</v>
      </c>
      <c r="V83">
        <v>0.11640300000000001</v>
      </c>
      <c r="W83">
        <v>4023.08815</v>
      </c>
      <c r="X83" t="s">
        <v>657</v>
      </c>
      <c r="Y83" t="s">
        <v>55</v>
      </c>
      <c r="Z83" t="s">
        <v>1327</v>
      </c>
      <c r="AA83">
        <v>4.5296084514227983</v>
      </c>
      <c r="AB83">
        <v>-62.789839836631621</v>
      </c>
      <c r="AC83">
        <v>-30.656502874113723</v>
      </c>
    </row>
    <row r="84" spans="1:29" x14ac:dyDescent="0.3">
      <c r="A84" t="s">
        <v>517</v>
      </c>
      <c r="B84" t="s">
        <v>518</v>
      </c>
      <c r="C84" t="s">
        <v>519</v>
      </c>
      <c r="D84" t="s">
        <v>520</v>
      </c>
      <c r="E84">
        <v>0.38628899999999999</v>
      </c>
      <c r="F84">
        <v>478676083</v>
      </c>
      <c r="G84">
        <v>83</v>
      </c>
      <c r="H84">
        <v>528050909</v>
      </c>
      <c r="I84">
        <v>135461427</v>
      </c>
      <c r="J84">
        <v>0.38612400000000002</v>
      </c>
      <c r="K84">
        <v>0.32631700000000002</v>
      </c>
      <c r="L84">
        <v>3.1505949999999998E-2</v>
      </c>
      <c r="M84">
        <v>8.88035</v>
      </c>
      <c r="N84">
        <v>37531720</v>
      </c>
      <c r="O84">
        <v>8.5078099999999992</v>
      </c>
      <c r="P84">
        <v>1245991468.9424601</v>
      </c>
      <c r="Q84">
        <v>1373873437.4424601</v>
      </c>
      <c r="R84">
        <v>1374513896</v>
      </c>
      <c r="S84">
        <v>3.29</v>
      </c>
      <c r="T84">
        <v>-88.2898</v>
      </c>
      <c r="U84" t="s">
        <v>521</v>
      </c>
      <c r="V84">
        <v>1.766498E-2</v>
      </c>
      <c r="W84">
        <v>2079.7516700000001</v>
      </c>
      <c r="X84" t="s">
        <v>522</v>
      </c>
      <c r="Y84" t="s">
        <v>55</v>
      </c>
      <c r="Z84" t="s">
        <v>1328</v>
      </c>
      <c r="AA84">
        <v>2.487471682374053</v>
      </c>
      <c r="AB84">
        <v>49.037892228546013</v>
      </c>
      <c r="AC84">
        <v>-21.665302035389452</v>
      </c>
    </row>
    <row r="85" spans="1:29" x14ac:dyDescent="0.3">
      <c r="A85" t="s">
        <v>482</v>
      </c>
      <c r="B85" t="s">
        <v>483</v>
      </c>
      <c r="C85" t="s">
        <v>484</v>
      </c>
      <c r="D85" t="s">
        <v>1121</v>
      </c>
      <c r="E85">
        <v>0.42245899999999997</v>
      </c>
      <c r="F85">
        <v>474677357</v>
      </c>
      <c r="G85">
        <v>84</v>
      </c>
      <c r="H85">
        <v>4237480800</v>
      </c>
      <c r="I85">
        <v>62326088</v>
      </c>
      <c r="J85">
        <v>0.44283499999999998</v>
      </c>
      <c r="K85">
        <v>0.39985199999999999</v>
      </c>
      <c r="L85">
        <v>-1.3833940233629109E-2</v>
      </c>
      <c r="M85">
        <v>-3.1707999999999998</v>
      </c>
      <c r="N85">
        <v>-3228992.1892798543</v>
      </c>
      <c r="O85">
        <v>-0.67564999999999997</v>
      </c>
      <c r="P85">
        <v>1120187629.0407095</v>
      </c>
      <c r="Q85">
        <v>10000000000</v>
      </c>
      <c r="R85">
        <v>10000000000</v>
      </c>
      <c r="S85">
        <v>2.71</v>
      </c>
      <c r="T85">
        <v>-84.484369999999998</v>
      </c>
      <c r="U85" t="s">
        <v>485</v>
      </c>
      <c r="V85">
        <v>0.39985199999999999</v>
      </c>
      <c r="W85">
        <v>5.2378499999999999</v>
      </c>
      <c r="X85" t="s">
        <v>1211</v>
      </c>
      <c r="Z85" t="s">
        <v>1329</v>
      </c>
      <c r="AA85">
        <v>1.7247052689160585</v>
      </c>
      <c r="AC85">
        <v>-49.225584055575148</v>
      </c>
    </row>
    <row r="86" spans="1:29" x14ac:dyDescent="0.3">
      <c r="A86" t="s">
        <v>502</v>
      </c>
      <c r="B86" t="s">
        <v>502</v>
      </c>
      <c r="C86" t="s">
        <v>503</v>
      </c>
      <c r="D86" t="s">
        <v>504</v>
      </c>
      <c r="E86">
        <v>43.94</v>
      </c>
      <c r="F86">
        <v>472277776</v>
      </c>
      <c r="G86">
        <v>85</v>
      </c>
      <c r="I86">
        <v>124172559</v>
      </c>
      <c r="J86">
        <v>43.94</v>
      </c>
      <c r="K86">
        <v>37.159999999999997</v>
      </c>
      <c r="L86">
        <v>3.41</v>
      </c>
      <c r="M86">
        <v>8.4202200000000005</v>
      </c>
      <c r="N86">
        <v>36527079</v>
      </c>
      <c r="O86">
        <v>8.3825599999999998</v>
      </c>
      <c r="P86">
        <v>10774147.7474999</v>
      </c>
      <c r="Q86">
        <v>18920000</v>
      </c>
      <c r="S86">
        <v>1257.3900000000001</v>
      </c>
      <c r="T86">
        <v>-96.522810000000007</v>
      </c>
      <c r="U86" t="s">
        <v>182</v>
      </c>
      <c r="V86">
        <v>0.163048</v>
      </c>
      <c r="W86">
        <v>26715.45177</v>
      </c>
      <c r="X86" t="s">
        <v>505</v>
      </c>
      <c r="Z86" t="s">
        <v>1330</v>
      </c>
      <c r="AA86">
        <v>2.8124647689197371</v>
      </c>
      <c r="AB86">
        <v>-70.053885017079082</v>
      </c>
      <c r="AC86">
        <v>-27.524365769438408</v>
      </c>
    </row>
    <row r="87" spans="1:29" x14ac:dyDescent="0.3">
      <c r="A87" t="s">
        <v>443</v>
      </c>
      <c r="B87" t="s">
        <v>444</v>
      </c>
      <c r="C87" t="s">
        <v>445</v>
      </c>
      <c r="D87" t="s">
        <v>446</v>
      </c>
      <c r="E87">
        <v>3.09</v>
      </c>
      <c r="F87">
        <v>463244996</v>
      </c>
      <c r="G87">
        <v>86</v>
      </c>
      <c r="H87">
        <v>2307576300</v>
      </c>
      <c r="I87">
        <v>127899680</v>
      </c>
      <c r="J87">
        <v>3.09</v>
      </c>
      <c r="K87">
        <v>2.62</v>
      </c>
      <c r="L87">
        <v>0.161909</v>
      </c>
      <c r="M87">
        <v>5.5252999999999997</v>
      </c>
      <c r="N87">
        <v>20108188</v>
      </c>
      <c r="O87">
        <v>4.5376899999999996</v>
      </c>
      <c r="P87">
        <v>150562192.47260699</v>
      </c>
      <c r="Q87">
        <v>303782080.961815</v>
      </c>
      <c r="R87">
        <v>750000000</v>
      </c>
      <c r="S87">
        <v>36.36</v>
      </c>
      <c r="T87">
        <v>-91.567689999999999</v>
      </c>
      <c r="U87" t="s">
        <v>447</v>
      </c>
      <c r="V87">
        <v>0.16602</v>
      </c>
      <c r="W87">
        <v>1746.7990400000001</v>
      </c>
      <c r="X87" t="s">
        <v>448</v>
      </c>
      <c r="Z87" t="s">
        <v>1331</v>
      </c>
      <c r="AA87">
        <v>2.757359108587583</v>
      </c>
      <c r="AB87">
        <v>-78.403583022554358</v>
      </c>
      <c r="AC87">
        <v>-31.445093266781608</v>
      </c>
    </row>
    <row r="88" spans="1:29" x14ac:dyDescent="0.3">
      <c r="A88" t="s">
        <v>486</v>
      </c>
      <c r="B88" t="s">
        <v>487</v>
      </c>
      <c r="C88" t="s">
        <v>488</v>
      </c>
      <c r="D88" t="s">
        <v>489</v>
      </c>
      <c r="E88">
        <v>9.2899999999999991</v>
      </c>
      <c r="F88">
        <v>460727574</v>
      </c>
      <c r="G88">
        <v>87</v>
      </c>
      <c r="H88">
        <v>606843523</v>
      </c>
      <c r="I88">
        <v>26102638</v>
      </c>
      <c r="J88">
        <v>9.2799999999999994</v>
      </c>
      <c r="K88">
        <v>7.41</v>
      </c>
      <c r="L88">
        <v>1.18</v>
      </c>
      <c r="M88">
        <v>14.507630000000001</v>
      </c>
      <c r="N88">
        <v>55078688</v>
      </c>
      <c r="O88">
        <v>13.577920000000001</v>
      </c>
      <c r="P88">
        <v>50108502</v>
      </c>
      <c r="Q88">
        <v>64598643</v>
      </c>
      <c r="R88">
        <v>66000000</v>
      </c>
      <c r="S88">
        <v>77.260000000000005</v>
      </c>
      <c r="T88">
        <v>-88.085650000000001</v>
      </c>
      <c r="U88" t="s">
        <v>490</v>
      </c>
      <c r="V88">
        <v>0.27116099999999999</v>
      </c>
      <c r="W88">
        <v>3294.5138700000002</v>
      </c>
      <c r="X88" t="s">
        <v>491</v>
      </c>
      <c r="Y88" t="s">
        <v>55</v>
      </c>
      <c r="Z88" t="s">
        <v>1332</v>
      </c>
      <c r="AA88">
        <v>3.9635974165840859</v>
      </c>
      <c r="AB88">
        <v>-30.424602719088771</v>
      </c>
      <c r="AC88">
        <v>-49.390373997437003</v>
      </c>
    </row>
    <row r="89" spans="1:29" x14ac:dyDescent="0.3">
      <c r="A89" t="s">
        <v>571</v>
      </c>
      <c r="B89" t="s">
        <v>571</v>
      </c>
      <c r="C89" t="s">
        <v>572</v>
      </c>
      <c r="D89" t="s">
        <v>573</v>
      </c>
      <c r="E89">
        <v>6.1252000000000001E-2</v>
      </c>
      <c r="F89">
        <v>459889596</v>
      </c>
      <c r="G89">
        <v>88</v>
      </c>
      <c r="H89">
        <v>3048656314</v>
      </c>
      <c r="I89">
        <v>347918401</v>
      </c>
      <c r="J89">
        <v>6.1365999999999997E-2</v>
      </c>
      <c r="K89">
        <v>5.1234000000000002E-2</v>
      </c>
      <c r="L89">
        <v>4.9231600000000002E-3</v>
      </c>
      <c r="M89">
        <v>8.7399900000000006</v>
      </c>
      <c r="N89">
        <v>32621169</v>
      </c>
      <c r="O89">
        <v>7.6348200000000004</v>
      </c>
      <c r="P89">
        <v>7542496572.3192387</v>
      </c>
      <c r="Q89">
        <v>37675631774.829597</v>
      </c>
      <c r="R89">
        <v>50000000000</v>
      </c>
      <c r="S89">
        <v>0.73527399999999998</v>
      </c>
      <c r="T89">
        <v>-91.733959999999996</v>
      </c>
      <c r="U89" t="s">
        <v>574</v>
      </c>
      <c r="V89">
        <v>1.1013E-4</v>
      </c>
      <c r="W89">
        <v>55089.155480000001</v>
      </c>
      <c r="X89" t="s">
        <v>575</v>
      </c>
      <c r="Z89" t="s">
        <v>1333</v>
      </c>
      <c r="AA89">
        <v>2.0896289677624647</v>
      </c>
      <c r="AB89">
        <v>640.43246777591196</v>
      </c>
      <c r="AC89">
        <v>-36.368282341585292</v>
      </c>
    </row>
    <row r="90" spans="1:29" x14ac:dyDescent="0.3">
      <c r="A90" t="s">
        <v>523</v>
      </c>
      <c r="B90" t="s">
        <v>524</v>
      </c>
      <c r="C90" t="s">
        <v>525</v>
      </c>
      <c r="D90" t="s">
        <v>526</v>
      </c>
      <c r="E90">
        <v>1.9404939999999999E-2</v>
      </c>
      <c r="F90">
        <v>425258807</v>
      </c>
      <c r="G90">
        <v>89</v>
      </c>
      <c r="I90">
        <v>52784</v>
      </c>
      <c r="J90">
        <v>1.9404939999999999E-2</v>
      </c>
      <c r="K90">
        <v>1.9404939999999999E-2</v>
      </c>
      <c r="L90">
        <v>0</v>
      </c>
      <c r="M90">
        <v>0</v>
      </c>
      <c r="N90">
        <v>-17520174.371449888</v>
      </c>
      <c r="O90">
        <v>-3.9568699999999999</v>
      </c>
      <c r="P90">
        <v>21914972703.963799</v>
      </c>
      <c r="Q90">
        <v>21914972703.963799</v>
      </c>
      <c r="S90">
        <v>1.9690539999999999E-2</v>
      </c>
      <c r="T90">
        <v>-1.45044</v>
      </c>
      <c r="U90" t="s">
        <v>527</v>
      </c>
      <c r="V90">
        <v>9.1450400000000001E-3</v>
      </c>
      <c r="W90">
        <v>112.19095</v>
      </c>
      <c r="X90" t="s">
        <v>528</v>
      </c>
      <c r="Z90" t="s">
        <v>1334</v>
      </c>
      <c r="AA90">
        <v>0</v>
      </c>
      <c r="AB90">
        <v>10.539342496998117</v>
      </c>
      <c r="AC90">
        <v>0</v>
      </c>
    </row>
    <row r="91" spans="1:29" x14ac:dyDescent="0.3">
      <c r="A91" t="s">
        <v>592</v>
      </c>
      <c r="B91" t="s">
        <v>593</v>
      </c>
      <c r="C91" t="s">
        <v>594</v>
      </c>
      <c r="D91" t="s">
        <v>595</v>
      </c>
      <c r="E91">
        <v>4.6100000000000003</v>
      </c>
      <c r="F91">
        <v>454547943</v>
      </c>
      <c r="G91">
        <v>90</v>
      </c>
      <c r="H91">
        <v>454830322</v>
      </c>
      <c r="I91">
        <v>2584172818</v>
      </c>
      <c r="J91">
        <v>4.7300000000000004</v>
      </c>
      <c r="K91">
        <v>4.22</v>
      </c>
      <c r="L91">
        <v>1.4179260000000001E-2</v>
      </c>
      <c r="M91">
        <v>0.30826999999999999</v>
      </c>
      <c r="N91">
        <v>-254765.01923549175</v>
      </c>
      <c r="O91">
        <v>-5.602E-2</v>
      </c>
      <c r="P91">
        <v>98674465.363219604</v>
      </c>
      <c r="Q91">
        <v>98735764.893999994</v>
      </c>
      <c r="R91">
        <v>98735764.893999994</v>
      </c>
      <c r="S91">
        <v>6.71</v>
      </c>
      <c r="T91">
        <v>-31.42849</v>
      </c>
      <c r="U91" t="s">
        <v>596</v>
      </c>
      <c r="V91">
        <v>4.0183999999999999E-4</v>
      </c>
      <c r="W91">
        <v>1144600.2083099999</v>
      </c>
      <c r="X91" t="s">
        <v>597</v>
      </c>
      <c r="Z91" t="s">
        <v>1335</v>
      </c>
      <c r="AA91">
        <v>0.1545273724574977</v>
      </c>
      <c r="AB91">
        <v>1993.8348890543448</v>
      </c>
      <c r="AC91">
        <v>-0.35466359720541435</v>
      </c>
    </row>
    <row r="92" spans="1:29" x14ac:dyDescent="0.3">
      <c r="A92" t="s">
        <v>549</v>
      </c>
      <c r="B92" t="s">
        <v>550</v>
      </c>
      <c r="C92" t="s">
        <v>551</v>
      </c>
      <c r="D92" t="s">
        <v>552</v>
      </c>
      <c r="E92">
        <v>9.2938099999999996E-3</v>
      </c>
      <c r="F92">
        <v>445574004</v>
      </c>
      <c r="G92">
        <v>91</v>
      </c>
      <c r="H92">
        <v>920819328</v>
      </c>
      <c r="I92">
        <v>6624484</v>
      </c>
      <c r="J92">
        <v>9.4149100000000003E-3</v>
      </c>
      <c r="K92">
        <v>8.4160599999999995E-3</v>
      </c>
      <c r="L92">
        <v>1.2882E-4</v>
      </c>
      <c r="M92">
        <v>1.4055899999999999</v>
      </c>
      <c r="N92">
        <v>7249313</v>
      </c>
      <c r="O92">
        <v>1.65387</v>
      </c>
      <c r="P92">
        <v>48013928909.1577</v>
      </c>
      <c r="Q92">
        <v>99444049866.061401</v>
      </c>
      <c r="R92">
        <v>99225164238.501526</v>
      </c>
      <c r="S92">
        <v>9.9697999999999995E-2</v>
      </c>
      <c r="T92">
        <v>-90.703069999999997</v>
      </c>
      <c r="U92" t="s">
        <v>553</v>
      </c>
      <c r="V92">
        <v>2.1375700000000001E-3</v>
      </c>
      <c r="W92">
        <v>333.61410000000001</v>
      </c>
      <c r="X92" t="s">
        <v>554</v>
      </c>
      <c r="Z92" t="s">
        <v>1336</v>
      </c>
      <c r="AA92">
        <v>1.5205324835950758</v>
      </c>
      <c r="AB92">
        <v>-85.699094712907538</v>
      </c>
      <c r="AC92">
        <v>-32.189982813832131</v>
      </c>
    </row>
    <row r="93" spans="1:29" x14ac:dyDescent="0.3">
      <c r="A93" t="s">
        <v>627</v>
      </c>
      <c r="B93" t="s">
        <v>628</v>
      </c>
      <c r="C93" t="s">
        <v>629</v>
      </c>
      <c r="D93" t="s">
        <v>630</v>
      </c>
      <c r="E93">
        <v>1768.16</v>
      </c>
      <c r="F93">
        <v>433912730</v>
      </c>
      <c r="G93">
        <v>92</v>
      </c>
      <c r="I93">
        <v>27638238</v>
      </c>
      <c r="J93">
        <v>1789.89</v>
      </c>
      <c r="K93">
        <v>1730.47</v>
      </c>
      <c r="L93">
        <v>18.489999999999998</v>
      </c>
      <c r="M93">
        <v>1.0567</v>
      </c>
      <c r="N93">
        <v>2692550</v>
      </c>
      <c r="O93">
        <v>0.62439999999999996</v>
      </c>
      <c r="P93">
        <v>246524.33</v>
      </c>
      <c r="Q93">
        <v>246524.33</v>
      </c>
      <c r="S93">
        <v>1893.35</v>
      </c>
      <c r="T93">
        <v>-6.9941199999999997</v>
      </c>
      <c r="U93" t="s">
        <v>631</v>
      </c>
      <c r="V93">
        <v>1306.55</v>
      </c>
      <c r="W93">
        <v>34.776339999999998</v>
      </c>
      <c r="X93" t="s">
        <v>632</v>
      </c>
      <c r="Z93" t="s">
        <v>1337</v>
      </c>
      <c r="AA93">
        <v>0.23428570344487537</v>
      </c>
      <c r="AB93">
        <v>14.562698541628569</v>
      </c>
      <c r="AC93">
        <v>-0.12965190893407835</v>
      </c>
    </row>
    <row r="94" spans="1:29" x14ac:dyDescent="0.3">
      <c r="A94" t="s">
        <v>555</v>
      </c>
      <c r="B94" t="s">
        <v>556</v>
      </c>
      <c r="C94" t="s">
        <v>557</v>
      </c>
      <c r="D94" t="s">
        <v>558</v>
      </c>
      <c r="E94">
        <v>0.45802100000000001</v>
      </c>
      <c r="F94">
        <v>426496387</v>
      </c>
      <c r="G94">
        <v>93</v>
      </c>
      <c r="H94">
        <v>456467759</v>
      </c>
      <c r="I94">
        <v>101928669</v>
      </c>
      <c r="J94">
        <v>0.45836199999999999</v>
      </c>
      <c r="K94">
        <v>0.38889299999999999</v>
      </c>
      <c r="L94">
        <v>3.3288020000000001E-2</v>
      </c>
      <c r="M94">
        <v>7.8373999999999997</v>
      </c>
      <c r="N94">
        <v>28799255</v>
      </c>
      <c r="O94">
        <v>7.2415000000000003</v>
      </c>
      <c r="P94">
        <v>934340659.56755805</v>
      </c>
      <c r="Q94">
        <v>1000000000</v>
      </c>
      <c r="R94">
        <v>1000000000</v>
      </c>
      <c r="S94">
        <v>4.29</v>
      </c>
      <c r="T94">
        <v>-89.348849999999999</v>
      </c>
      <c r="U94" t="s">
        <v>559</v>
      </c>
      <c r="V94">
        <v>1.5998740000000001E-2</v>
      </c>
      <c r="W94">
        <v>2758.2945100000002</v>
      </c>
      <c r="X94" t="s">
        <v>120</v>
      </c>
      <c r="Z94" t="s">
        <v>1338</v>
      </c>
      <c r="AA94">
        <v>2.3321568860254533</v>
      </c>
      <c r="AB94">
        <v>-60.958329791615704</v>
      </c>
      <c r="AC94">
        <v>-38.049035318725885</v>
      </c>
    </row>
    <row r="95" spans="1:29" x14ac:dyDescent="0.3">
      <c r="A95" t="s">
        <v>576</v>
      </c>
      <c r="B95" t="s">
        <v>577</v>
      </c>
      <c r="C95" t="s">
        <v>1147</v>
      </c>
      <c r="D95" t="s">
        <v>578</v>
      </c>
      <c r="E95">
        <v>1.88</v>
      </c>
      <c r="F95">
        <v>417708339</v>
      </c>
      <c r="G95">
        <v>94</v>
      </c>
      <c r="H95">
        <v>511873813</v>
      </c>
      <c r="I95">
        <v>32265370</v>
      </c>
      <c r="J95">
        <v>1.89</v>
      </c>
      <c r="K95">
        <v>1.57</v>
      </c>
      <c r="L95">
        <v>0.15747</v>
      </c>
      <c r="M95">
        <v>9.1237999999999992</v>
      </c>
      <c r="N95">
        <v>35922515</v>
      </c>
      <c r="O95">
        <v>9.4090799999999994</v>
      </c>
      <c r="P95">
        <v>221178022.09043327</v>
      </c>
      <c r="Q95">
        <v>271038968.70644897</v>
      </c>
      <c r="R95">
        <v>271038968.70644897</v>
      </c>
      <c r="S95">
        <v>23.54</v>
      </c>
      <c r="T95">
        <v>-91.997870000000006</v>
      </c>
      <c r="U95" t="s">
        <v>579</v>
      </c>
      <c r="V95">
        <v>3.0464870000000002E-2</v>
      </c>
      <c r="W95">
        <v>6083.3367500000004</v>
      </c>
      <c r="X95" t="s">
        <v>580</v>
      </c>
      <c r="Y95" t="s">
        <v>55</v>
      </c>
      <c r="Z95" t="s">
        <v>1339</v>
      </c>
      <c r="AA95">
        <v>5.3645992523243242</v>
      </c>
      <c r="AB95">
        <v>-77.186110116983301</v>
      </c>
      <c r="AC95">
        <v>-35.77869256571821</v>
      </c>
    </row>
    <row r="96" spans="1:29" x14ac:dyDescent="0.3">
      <c r="A96" t="s">
        <v>471</v>
      </c>
      <c r="B96" t="s">
        <v>471</v>
      </c>
      <c r="C96" t="s">
        <v>472</v>
      </c>
      <c r="D96" t="s">
        <v>473</v>
      </c>
      <c r="E96">
        <v>0.74153000000000002</v>
      </c>
      <c r="F96">
        <v>413912086</v>
      </c>
      <c r="G96">
        <v>95</v>
      </c>
      <c r="H96">
        <v>739128712</v>
      </c>
      <c r="I96">
        <v>13991720</v>
      </c>
      <c r="J96">
        <v>0.74172899999999997</v>
      </c>
      <c r="K96">
        <v>0.59373399999999998</v>
      </c>
      <c r="L96">
        <v>3.7325669999999998E-2</v>
      </c>
      <c r="M96">
        <v>5.3004100000000003</v>
      </c>
      <c r="N96">
        <v>15004621</v>
      </c>
      <c r="O96">
        <v>3.7614299999999998</v>
      </c>
      <c r="P96">
        <v>560000010.00639999</v>
      </c>
      <c r="Q96">
        <v>1000000000</v>
      </c>
      <c r="R96">
        <v>1000000000</v>
      </c>
      <c r="S96">
        <v>3.37</v>
      </c>
      <c r="T96">
        <v>-78.315269999999998</v>
      </c>
      <c r="U96" t="s">
        <v>474</v>
      </c>
      <c r="V96">
        <v>3.8837740000000003E-2</v>
      </c>
      <c r="W96">
        <v>1780.5895</v>
      </c>
      <c r="X96" t="s">
        <v>475</v>
      </c>
      <c r="Y96" t="s">
        <v>55</v>
      </c>
      <c r="Z96" t="s">
        <v>1340</v>
      </c>
      <c r="AA96">
        <v>3.323456351421576</v>
      </c>
      <c r="AB96">
        <v>-53.663349281399967</v>
      </c>
      <c r="AC96">
        <v>-44.959663299094125</v>
      </c>
    </row>
    <row r="97" spans="1:29" x14ac:dyDescent="0.3">
      <c r="A97" t="s">
        <v>544</v>
      </c>
      <c r="B97" t="s">
        <v>544</v>
      </c>
      <c r="C97" t="s">
        <v>545</v>
      </c>
      <c r="D97" t="s">
        <v>546</v>
      </c>
      <c r="E97">
        <v>0.89949500000000004</v>
      </c>
      <c r="F97">
        <v>398799040</v>
      </c>
      <c r="G97">
        <v>96</v>
      </c>
      <c r="H97">
        <v>896151785</v>
      </c>
      <c r="I97">
        <v>37145022</v>
      </c>
      <c r="J97">
        <v>0.90563700000000003</v>
      </c>
      <c r="K97">
        <v>0.77814700000000003</v>
      </c>
      <c r="L97">
        <v>4.0252969999999999E-2</v>
      </c>
      <c r="M97">
        <v>4.6847099999999999</v>
      </c>
      <c r="N97">
        <v>15125080</v>
      </c>
      <c r="O97">
        <v>3.94217</v>
      </c>
      <c r="P97">
        <v>445012828</v>
      </c>
      <c r="Q97">
        <v>1000000000</v>
      </c>
      <c r="R97">
        <v>1000000000</v>
      </c>
      <c r="S97">
        <v>8.33</v>
      </c>
      <c r="T97">
        <v>-89.213470000000001</v>
      </c>
      <c r="U97" t="s">
        <v>547</v>
      </c>
      <c r="V97">
        <v>0.732039</v>
      </c>
      <c r="W97">
        <v>22.762830000000001</v>
      </c>
      <c r="X97" t="s">
        <v>548</v>
      </c>
      <c r="Z97" t="s">
        <v>1341</v>
      </c>
      <c r="AA97">
        <v>1.6427740453181323</v>
      </c>
      <c r="AB97">
        <v>-56.934482164324194</v>
      </c>
      <c r="AC97">
        <v>-41.772042272261949</v>
      </c>
    </row>
    <row r="98" spans="1:29" x14ac:dyDescent="0.3">
      <c r="A98" t="s">
        <v>560</v>
      </c>
      <c r="B98" t="s">
        <v>561</v>
      </c>
      <c r="C98" t="s">
        <v>562</v>
      </c>
      <c r="D98" t="s">
        <v>563</v>
      </c>
      <c r="E98">
        <v>0.96270900000000004</v>
      </c>
      <c r="F98">
        <v>391475933</v>
      </c>
      <c r="G98">
        <v>97</v>
      </c>
      <c r="H98">
        <v>391817262</v>
      </c>
      <c r="I98">
        <v>22355970</v>
      </c>
      <c r="J98">
        <v>0.97282500000000005</v>
      </c>
      <c r="K98">
        <v>0.94836600000000004</v>
      </c>
      <c r="L98">
        <v>8.5488999999999999E-3</v>
      </c>
      <c r="M98">
        <v>0.89595999999999998</v>
      </c>
      <c r="N98">
        <v>2442913</v>
      </c>
      <c r="O98">
        <v>0.62794000000000005</v>
      </c>
      <c r="P98">
        <v>407063472.28813177</v>
      </c>
      <c r="Q98">
        <v>407418392.69877899</v>
      </c>
      <c r="R98">
        <v>407418392.69877899</v>
      </c>
      <c r="S98">
        <v>1.002</v>
      </c>
      <c r="T98">
        <v>-4.3312200000000001</v>
      </c>
      <c r="U98" t="s">
        <v>564</v>
      </c>
      <c r="V98">
        <v>0.55870299999999995</v>
      </c>
      <c r="W98">
        <v>71.543220000000005</v>
      </c>
      <c r="X98" t="s">
        <v>565</v>
      </c>
      <c r="Z98" t="s">
        <v>1342</v>
      </c>
      <c r="AA98">
        <v>0.55944223589383535</v>
      </c>
      <c r="AB98">
        <v>15.776810177803988</v>
      </c>
      <c r="AC98">
        <v>7.2049655881393296E-2</v>
      </c>
    </row>
    <row r="99" spans="1:29" x14ac:dyDescent="0.3">
      <c r="A99" t="s">
        <v>538</v>
      </c>
      <c r="B99" t="s">
        <v>539</v>
      </c>
      <c r="C99" t="s">
        <v>540</v>
      </c>
      <c r="D99" t="s">
        <v>541</v>
      </c>
      <c r="E99">
        <v>0.64730299999999996</v>
      </c>
      <c r="F99">
        <v>386979023</v>
      </c>
      <c r="G99">
        <v>98</v>
      </c>
      <c r="H99">
        <v>3869790228</v>
      </c>
      <c r="I99">
        <v>555513932</v>
      </c>
      <c r="J99">
        <v>0.64751999999999998</v>
      </c>
      <c r="K99">
        <v>0.54366499999999995</v>
      </c>
      <c r="L99">
        <v>6.1107000000000002E-2</v>
      </c>
      <c r="M99">
        <v>10.424250000000001</v>
      </c>
      <c r="N99">
        <v>33393148</v>
      </c>
      <c r="O99">
        <v>9.4441400000000009</v>
      </c>
      <c r="P99">
        <v>600000000</v>
      </c>
      <c r="Q99">
        <v>6000000000</v>
      </c>
      <c r="R99">
        <v>6000000000</v>
      </c>
      <c r="S99">
        <v>3.91</v>
      </c>
      <c r="T99">
        <v>-83.628410000000002</v>
      </c>
      <c r="U99" t="s">
        <v>542</v>
      </c>
      <c r="V99">
        <v>9.1666999999999998E-2</v>
      </c>
      <c r="W99">
        <v>597.47874000000002</v>
      </c>
      <c r="X99" t="s">
        <v>543</v>
      </c>
      <c r="Z99" t="s">
        <v>1343</v>
      </c>
      <c r="AA99">
        <v>1.982848538654024</v>
      </c>
      <c r="AC99">
        <v>-58.198635429227771</v>
      </c>
    </row>
    <row r="100" spans="1:29" x14ac:dyDescent="0.3">
      <c r="A100" t="s">
        <v>663</v>
      </c>
      <c r="B100" t="s">
        <v>664</v>
      </c>
      <c r="C100" t="s">
        <v>665</v>
      </c>
      <c r="D100" t="s">
        <v>666</v>
      </c>
      <c r="E100">
        <v>2.07983E-3</v>
      </c>
      <c r="F100">
        <v>368083690</v>
      </c>
      <c r="G100">
        <v>99</v>
      </c>
      <c r="I100">
        <v>35745706</v>
      </c>
      <c r="J100">
        <v>2.0804899999999999E-3</v>
      </c>
      <c r="K100">
        <v>1.81514E-3</v>
      </c>
      <c r="L100">
        <v>1.3582000000000001E-4</v>
      </c>
      <c r="M100">
        <v>6.9866299999999999</v>
      </c>
      <c r="N100">
        <v>22542968</v>
      </c>
      <c r="O100">
        <v>6.5239700000000003</v>
      </c>
      <c r="P100">
        <v>177619433541.14099</v>
      </c>
      <c r="Q100">
        <v>177619433541.14099</v>
      </c>
      <c r="S100">
        <v>2.647468E-2</v>
      </c>
      <c r="T100">
        <v>-92.172420000000002</v>
      </c>
      <c r="U100" t="s">
        <v>667</v>
      </c>
      <c r="V100">
        <v>1.9699E-4</v>
      </c>
      <c r="W100">
        <v>952.00310999999999</v>
      </c>
      <c r="X100" t="s">
        <v>668</v>
      </c>
      <c r="Y100" t="s">
        <v>55</v>
      </c>
      <c r="Z100" t="s">
        <v>1344</v>
      </c>
      <c r="AA100">
        <v>2.188087004184792</v>
      </c>
      <c r="AB100">
        <v>-69.591637128241331</v>
      </c>
      <c r="AC100">
        <v>-21.942887165354588</v>
      </c>
    </row>
    <row r="101" spans="1:29" x14ac:dyDescent="0.3">
      <c r="A101" t="s">
        <v>581</v>
      </c>
      <c r="B101" t="s">
        <v>582</v>
      </c>
      <c r="C101" t="s">
        <v>583</v>
      </c>
      <c r="D101" t="s">
        <v>584</v>
      </c>
      <c r="E101">
        <v>0.34781600000000001</v>
      </c>
      <c r="F101">
        <v>365961615</v>
      </c>
      <c r="G101">
        <v>100</v>
      </c>
      <c r="I101">
        <v>15462316</v>
      </c>
      <c r="J101">
        <v>0.34883999999999998</v>
      </c>
      <c r="K101">
        <v>0.29436899999999999</v>
      </c>
      <c r="L101">
        <v>2.7017019999999999E-2</v>
      </c>
      <c r="M101">
        <v>8.42178</v>
      </c>
      <c r="N101">
        <v>27044425</v>
      </c>
      <c r="O101">
        <v>7.97966</v>
      </c>
      <c r="P101">
        <v>1052561461.68777</v>
      </c>
      <c r="Q101">
        <v>1352464600</v>
      </c>
      <c r="S101">
        <v>2.99</v>
      </c>
      <c r="T101">
        <v>-88.392259999999993</v>
      </c>
      <c r="U101" t="s">
        <v>585</v>
      </c>
      <c r="V101">
        <v>4.0772250000000003E-2</v>
      </c>
      <c r="W101">
        <v>752.57709999999997</v>
      </c>
      <c r="X101" t="s">
        <v>586</v>
      </c>
      <c r="Y101" t="s">
        <v>55</v>
      </c>
      <c r="Z101" t="s">
        <v>1345</v>
      </c>
      <c r="AA101">
        <v>1.7249548912940489</v>
      </c>
      <c r="AB101">
        <v>-53.247126950478574</v>
      </c>
      <c r="AC101">
        <v>-41.770898938569559</v>
      </c>
    </row>
    <row r="102" spans="1:29" x14ac:dyDescent="0.3">
      <c r="A102" t="s">
        <v>633</v>
      </c>
      <c r="B102" t="s">
        <v>633</v>
      </c>
      <c r="C102" t="s">
        <v>634</v>
      </c>
      <c r="D102" t="s">
        <v>635</v>
      </c>
      <c r="E102">
        <v>1.73</v>
      </c>
      <c r="F102">
        <v>360345105</v>
      </c>
      <c r="G102">
        <v>101</v>
      </c>
      <c r="I102">
        <v>22640594</v>
      </c>
      <c r="J102">
        <v>1.73</v>
      </c>
      <c r="K102">
        <v>1.43</v>
      </c>
      <c r="L102">
        <v>0.151366</v>
      </c>
      <c r="M102">
        <v>9.5972799999999996</v>
      </c>
      <c r="N102">
        <v>30444728</v>
      </c>
      <c r="O102">
        <v>9.2284600000000001</v>
      </c>
      <c r="P102">
        <v>209434685</v>
      </c>
      <c r="Q102">
        <v>214420787</v>
      </c>
      <c r="S102">
        <v>7.73</v>
      </c>
      <c r="T102">
        <v>-77.724959999999996</v>
      </c>
      <c r="U102" t="s">
        <v>636</v>
      </c>
      <c r="V102">
        <v>0.25687100000000002</v>
      </c>
      <c r="W102">
        <v>570.57719999999995</v>
      </c>
      <c r="X102" t="s">
        <v>637</v>
      </c>
      <c r="Z102" t="s">
        <v>1346</v>
      </c>
      <c r="AA102">
        <v>2.7084465708735048</v>
      </c>
      <c r="AB102">
        <v>-47.799392217858816</v>
      </c>
      <c r="AC102">
        <v>-33.157408772183636</v>
      </c>
    </row>
    <row r="103" spans="1:29" x14ac:dyDescent="0.3">
      <c r="A103" t="s">
        <v>643</v>
      </c>
      <c r="B103" t="s">
        <v>644</v>
      </c>
      <c r="C103" t="s">
        <v>645</v>
      </c>
      <c r="D103" t="s">
        <v>646</v>
      </c>
      <c r="E103">
        <v>0.660188</v>
      </c>
      <c r="F103">
        <v>360070710</v>
      </c>
      <c r="G103">
        <v>102</v>
      </c>
      <c r="I103">
        <v>26934357</v>
      </c>
      <c r="J103">
        <v>0.66246300000000002</v>
      </c>
      <c r="K103">
        <v>0.56292500000000001</v>
      </c>
      <c r="L103">
        <v>5.2365000000000002E-2</v>
      </c>
      <c r="M103">
        <v>8.6152700000000006</v>
      </c>
      <c r="N103">
        <v>27938266</v>
      </c>
      <c r="O103">
        <v>8.4117800000000003</v>
      </c>
      <c r="P103">
        <v>547008173.84003901</v>
      </c>
      <c r="Q103">
        <v>926963452.84003901</v>
      </c>
      <c r="S103">
        <v>7.43</v>
      </c>
      <c r="T103">
        <v>-91.152060000000006</v>
      </c>
      <c r="U103" t="s">
        <v>647</v>
      </c>
      <c r="V103">
        <v>0.54442199999999996</v>
      </c>
      <c r="W103">
        <v>20.776319999999998</v>
      </c>
      <c r="X103" t="s">
        <v>1184</v>
      </c>
      <c r="Z103" t="s">
        <v>1347</v>
      </c>
      <c r="AA103">
        <v>0.55553803204815067</v>
      </c>
      <c r="AB103">
        <v>-72.062257019011597</v>
      </c>
      <c r="AC103">
        <v>-40.757323352303665</v>
      </c>
    </row>
    <row r="104" spans="1:29" x14ac:dyDescent="0.3">
      <c r="A104" t="s">
        <v>658</v>
      </c>
      <c r="B104" t="s">
        <v>659</v>
      </c>
      <c r="C104" t="s">
        <v>660</v>
      </c>
      <c r="D104" t="s">
        <v>661</v>
      </c>
      <c r="E104">
        <v>3.9909920000000002E-2</v>
      </c>
      <c r="F104">
        <v>357629547</v>
      </c>
      <c r="G104">
        <v>103</v>
      </c>
      <c r="I104">
        <v>11592987</v>
      </c>
      <c r="J104">
        <v>3.9900890000000001E-2</v>
      </c>
      <c r="K104">
        <v>3.4512809999999998E-2</v>
      </c>
      <c r="L104">
        <v>2.7526299999999998E-3</v>
      </c>
      <c r="M104">
        <v>7.4080500000000002</v>
      </c>
      <c r="N104">
        <v>22483274</v>
      </c>
      <c r="O104">
        <v>6.7084999999999999</v>
      </c>
      <c r="P104">
        <v>8999999999</v>
      </c>
      <c r="Q104">
        <v>8999999999</v>
      </c>
      <c r="S104">
        <v>1.55</v>
      </c>
      <c r="T104">
        <v>-97.452079999999995</v>
      </c>
      <c r="U104" t="s">
        <v>77</v>
      </c>
      <c r="V104">
        <v>7.4709999999999995E-5</v>
      </c>
      <c r="W104">
        <v>52835.46312</v>
      </c>
      <c r="X104" t="s">
        <v>662</v>
      </c>
      <c r="Z104" t="s">
        <v>1348</v>
      </c>
      <c r="AA104">
        <v>2.6623445131058419</v>
      </c>
      <c r="AB104">
        <v>-72.118181251534622</v>
      </c>
      <c r="AC104">
        <v>-38.277855051226275</v>
      </c>
    </row>
    <row r="105" spans="1:29" x14ac:dyDescent="0.3">
      <c r="A105" t="s">
        <v>610</v>
      </c>
      <c r="B105" t="s">
        <v>611</v>
      </c>
      <c r="C105" t="s">
        <v>612</v>
      </c>
      <c r="D105" t="s">
        <v>613</v>
      </c>
      <c r="E105">
        <v>2.909989E-2</v>
      </c>
      <c r="F105">
        <v>354574282</v>
      </c>
      <c r="G105">
        <v>104</v>
      </c>
      <c r="I105">
        <v>11001908</v>
      </c>
      <c r="J105">
        <v>2.9072279999999999E-2</v>
      </c>
      <c r="K105">
        <v>2.5903519999999999E-2</v>
      </c>
      <c r="L105">
        <v>1.15738E-3</v>
      </c>
      <c r="M105">
        <v>4.1419899999999998</v>
      </c>
      <c r="N105">
        <v>13448842</v>
      </c>
      <c r="O105">
        <v>3.9424899999999998</v>
      </c>
      <c r="P105">
        <v>12238141964</v>
      </c>
      <c r="Q105">
        <v>37599520715</v>
      </c>
      <c r="S105">
        <v>0.16478899999999999</v>
      </c>
      <c r="T105">
        <v>-82.476749999999996</v>
      </c>
      <c r="U105" t="s">
        <v>614</v>
      </c>
      <c r="V105">
        <v>3.5238000000000001E-4</v>
      </c>
      <c r="W105">
        <v>8094.6747999999998</v>
      </c>
      <c r="X105" t="s">
        <v>615</v>
      </c>
      <c r="Y105" t="s">
        <v>55</v>
      </c>
      <c r="Z105" t="s">
        <v>1349</v>
      </c>
      <c r="AA105">
        <v>1.9081387580858411</v>
      </c>
      <c r="AB105">
        <v>-33.873099720556063</v>
      </c>
      <c r="AC105">
        <v>-36.786805506346369</v>
      </c>
    </row>
    <row r="106" spans="1:29" x14ac:dyDescent="0.3">
      <c r="A106" t="s">
        <v>621</v>
      </c>
      <c r="B106" t="s">
        <v>622</v>
      </c>
      <c r="C106" t="s">
        <v>623</v>
      </c>
      <c r="D106" t="s">
        <v>624</v>
      </c>
      <c r="E106">
        <v>24.54</v>
      </c>
      <c r="F106">
        <v>346473877</v>
      </c>
      <c r="G106">
        <v>105</v>
      </c>
      <c r="I106">
        <v>1237328</v>
      </c>
      <c r="J106">
        <v>24.7</v>
      </c>
      <c r="K106">
        <v>21.91</v>
      </c>
      <c r="L106">
        <v>0.87791300000000005</v>
      </c>
      <c r="M106">
        <v>3.7101500000000001</v>
      </c>
      <c r="N106">
        <v>12560853</v>
      </c>
      <c r="O106">
        <v>3.7617099999999999</v>
      </c>
      <c r="P106">
        <v>14105327.9203186</v>
      </c>
      <c r="Q106">
        <v>21000000</v>
      </c>
      <c r="S106">
        <v>206.44</v>
      </c>
      <c r="T106">
        <v>-88.034630000000007</v>
      </c>
      <c r="U106" t="s">
        <v>625</v>
      </c>
      <c r="V106">
        <v>0.41278799999999999</v>
      </c>
      <c r="W106">
        <v>5883.9079700000002</v>
      </c>
      <c r="X106" t="s">
        <v>626</v>
      </c>
      <c r="Z106" t="s">
        <v>1350</v>
      </c>
      <c r="AA106">
        <v>0.83823802895030797</v>
      </c>
      <c r="AB106">
        <v>-78.543502892181209</v>
      </c>
      <c r="AC106">
        <v>-35.695311276805683</v>
      </c>
    </row>
    <row r="107" spans="1:29" x14ac:dyDescent="0.3">
      <c r="A107" t="s">
        <v>598</v>
      </c>
      <c r="B107" t="s">
        <v>599</v>
      </c>
      <c r="C107" t="s">
        <v>600</v>
      </c>
      <c r="D107" t="s">
        <v>601</v>
      </c>
      <c r="E107">
        <v>2.7731740000000001E-2</v>
      </c>
      <c r="F107">
        <v>335705297</v>
      </c>
      <c r="G107">
        <v>106</v>
      </c>
      <c r="H107">
        <v>362430847</v>
      </c>
      <c r="I107">
        <v>38174679</v>
      </c>
      <c r="J107">
        <v>2.7708650000000001E-2</v>
      </c>
      <c r="K107">
        <v>2.3573469999999999E-2</v>
      </c>
      <c r="L107">
        <v>2.2930899999999998E-3</v>
      </c>
      <c r="M107">
        <v>9.0142100000000003</v>
      </c>
      <c r="N107">
        <v>25765417</v>
      </c>
      <c r="O107">
        <v>8.3130400000000009</v>
      </c>
      <c r="P107">
        <v>12185921761.0007</v>
      </c>
      <c r="Q107">
        <v>13156044839.79314</v>
      </c>
      <c r="R107">
        <v>13156044839.79314</v>
      </c>
      <c r="S107">
        <v>0.329619</v>
      </c>
      <c r="T107">
        <v>-91.64479</v>
      </c>
      <c r="U107" t="s">
        <v>602</v>
      </c>
      <c r="V107">
        <v>1.1393099999999999E-3</v>
      </c>
      <c r="W107">
        <v>2317.2761099999998</v>
      </c>
      <c r="X107" t="s">
        <v>603</v>
      </c>
      <c r="Y107" t="s">
        <v>55</v>
      </c>
      <c r="Z107" t="s">
        <v>1351</v>
      </c>
      <c r="AA107">
        <v>2.7495818948403263</v>
      </c>
      <c r="AB107">
        <v>-59.641154272245913</v>
      </c>
      <c r="AC107">
        <v>-45.783077845019903</v>
      </c>
    </row>
    <row r="108" spans="1:29" x14ac:dyDescent="0.3">
      <c r="A108" t="s">
        <v>749</v>
      </c>
      <c r="B108" t="s">
        <v>750</v>
      </c>
      <c r="C108" t="s">
        <v>751</v>
      </c>
      <c r="D108" t="s">
        <v>752</v>
      </c>
      <c r="E108">
        <v>0.92688800000000005</v>
      </c>
      <c r="F108">
        <v>334292885</v>
      </c>
      <c r="G108">
        <v>107</v>
      </c>
      <c r="H108">
        <v>9370784962</v>
      </c>
      <c r="I108">
        <v>70932434</v>
      </c>
      <c r="J108">
        <v>0.93857999999999997</v>
      </c>
      <c r="K108">
        <v>0.80560299999999996</v>
      </c>
      <c r="L108">
        <v>6.3535999999999995E-2</v>
      </c>
      <c r="M108">
        <v>7.35928</v>
      </c>
      <c r="N108">
        <v>34992712</v>
      </c>
      <c r="O108">
        <v>11.691509999999999</v>
      </c>
      <c r="P108">
        <v>362482973.822891</v>
      </c>
      <c r="Q108">
        <v>1092844982.3099999</v>
      </c>
      <c r="R108">
        <v>10161000000</v>
      </c>
      <c r="S108">
        <v>11.66</v>
      </c>
      <c r="T108">
        <v>-92.001059999999995</v>
      </c>
      <c r="U108" t="s">
        <v>753</v>
      </c>
      <c r="V108">
        <v>9.3375E-2</v>
      </c>
      <c r="W108">
        <v>899.22376999999994</v>
      </c>
      <c r="X108" t="s">
        <v>754</v>
      </c>
      <c r="Z108" t="s">
        <v>1352</v>
      </c>
      <c r="AA108">
        <v>1.8201864962519081</v>
      </c>
      <c r="AB108">
        <v>-73.610204475140208</v>
      </c>
      <c r="AC108">
        <v>-29.192874980578935</v>
      </c>
    </row>
    <row r="109" spans="1:29" x14ac:dyDescent="0.3">
      <c r="A109" t="s">
        <v>733</v>
      </c>
      <c r="B109" t="s">
        <v>734</v>
      </c>
      <c r="C109" t="s">
        <v>735</v>
      </c>
      <c r="D109" t="s">
        <v>736</v>
      </c>
      <c r="E109">
        <v>1.38146E-2</v>
      </c>
      <c r="F109">
        <v>320878783</v>
      </c>
      <c r="G109">
        <v>108</v>
      </c>
      <c r="H109">
        <v>1241493003</v>
      </c>
      <c r="I109">
        <v>26239874</v>
      </c>
      <c r="J109">
        <v>1.379437E-2</v>
      </c>
      <c r="K109">
        <v>1.201784E-2</v>
      </c>
      <c r="L109">
        <v>9.9594000000000006E-4</v>
      </c>
      <c r="M109">
        <v>7.76945</v>
      </c>
      <c r="N109">
        <v>21749648</v>
      </c>
      <c r="O109">
        <v>7.2709900000000003</v>
      </c>
      <c r="P109">
        <v>23261581344.266201</v>
      </c>
      <c r="Q109">
        <v>23261581344.266201</v>
      </c>
      <c r="R109">
        <v>90000000000</v>
      </c>
      <c r="S109">
        <v>0.10477300000000001</v>
      </c>
      <c r="T109">
        <v>-86.855310000000003</v>
      </c>
      <c r="U109" t="s">
        <v>737</v>
      </c>
      <c r="V109">
        <v>1.4341099999999999E-3</v>
      </c>
      <c r="W109">
        <v>860.32414000000006</v>
      </c>
      <c r="X109" t="s">
        <v>738</v>
      </c>
      <c r="Z109" t="s">
        <v>1353</v>
      </c>
      <c r="AA109">
        <v>2.990113433094149</v>
      </c>
      <c r="AB109">
        <v>-43.25383272608984</v>
      </c>
      <c r="AC109">
        <v>-23.419513345782619</v>
      </c>
    </row>
    <row r="110" spans="1:29" x14ac:dyDescent="0.3">
      <c r="A110" t="s">
        <v>587</v>
      </c>
      <c r="B110" t="s">
        <v>588</v>
      </c>
      <c r="C110" t="s">
        <v>589</v>
      </c>
      <c r="D110" t="s">
        <v>590</v>
      </c>
      <c r="E110">
        <v>0.81046700000000005</v>
      </c>
      <c r="F110">
        <v>320842319</v>
      </c>
      <c r="G110">
        <v>109</v>
      </c>
      <c r="H110">
        <v>808755917</v>
      </c>
      <c r="I110">
        <v>20165950</v>
      </c>
      <c r="J110">
        <v>0.80875600000000003</v>
      </c>
      <c r="K110">
        <v>0.69027899999999998</v>
      </c>
      <c r="L110">
        <v>7.5451000000000004E-2</v>
      </c>
      <c r="M110">
        <v>10.26519</v>
      </c>
      <c r="N110">
        <v>30037847</v>
      </c>
      <c r="O110">
        <v>10.329219999999999</v>
      </c>
      <c r="P110">
        <v>396710939</v>
      </c>
      <c r="Q110">
        <v>325000000</v>
      </c>
      <c r="R110">
        <v>1000000000</v>
      </c>
      <c r="S110">
        <v>10.199999999999999</v>
      </c>
      <c r="T110">
        <v>-92.088440000000006</v>
      </c>
      <c r="U110" t="s">
        <v>591</v>
      </c>
      <c r="V110">
        <v>0.69027899999999998</v>
      </c>
      <c r="W110">
        <v>16.896719999999998</v>
      </c>
      <c r="X110" t="s">
        <v>1212</v>
      </c>
      <c r="Z110" t="s">
        <v>1354</v>
      </c>
      <c r="AA110">
        <v>3.2311163873058524</v>
      </c>
      <c r="AC110">
        <v>-52.216449674664247</v>
      </c>
    </row>
    <row r="111" spans="1:29" x14ac:dyDescent="0.3">
      <c r="A111" t="s">
        <v>727</v>
      </c>
      <c r="B111" t="s">
        <v>728</v>
      </c>
      <c r="C111" t="s">
        <v>729</v>
      </c>
      <c r="D111" t="s">
        <v>730</v>
      </c>
      <c r="E111">
        <v>1.73</v>
      </c>
      <c r="F111">
        <v>317305260</v>
      </c>
      <c r="G111">
        <v>110</v>
      </c>
      <c r="H111">
        <v>1716997062</v>
      </c>
      <c r="I111">
        <v>34824524</v>
      </c>
      <c r="J111">
        <v>1.74</v>
      </c>
      <c r="K111">
        <v>1.44</v>
      </c>
      <c r="L111">
        <v>0.24856700000000001</v>
      </c>
      <c r="M111">
        <v>16.808710000000001</v>
      </c>
      <c r="N111">
        <v>41844945</v>
      </c>
      <c r="O111">
        <v>15.19092</v>
      </c>
      <c r="P111">
        <v>184802447.92335001</v>
      </c>
      <c r="Q111">
        <v>1000000000</v>
      </c>
      <c r="R111">
        <v>1000000000</v>
      </c>
      <c r="S111">
        <v>24.11</v>
      </c>
      <c r="T111">
        <v>-92.840559999999996</v>
      </c>
      <c r="U111" t="s">
        <v>731</v>
      </c>
      <c r="V111">
        <v>5.8833000000000003E-2</v>
      </c>
      <c r="W111">
        <v>2834.3905300000001</v>
      </c>
      <c r="X111" t="s">
        <v>732</v>
      </c>
      <c r="Y111" t="s">
        <v>55</v>
      </c>
      <c r="Z111" t="s">
        <v>1355</v>
      </c>
      <c r="AA111">
        <v>4.0657286629173273</v>
      </c>
      <c r="AB111">
        <v>323.27464759135955</v>
      </c>
      <c r="AC111">
        <v>-45.253985515921059</v>
      </c>
    </row>
    <row r="112" spans="1:29" x14ac:dyDescent="0.3">
      <c r="A112" t="s">
        <v>604</v>
      </c>
      <c r="B112" t="s">
        <v>605</v>
      </c>
      <c r="C112" t="s">
        <v>606</v>
      </c>
      <c r="D112" t="s">
        <v>607</v>
      </c>
      <c r="E112">
        <v>122.73</v>
      </c>
      <c r="F112">
        <v>315353807</v>
      </c>
      <c r="G112">
        <v>111</v>
      </c>
      <c r="H112">
        <v>366748898</v>
      </c>
      <c r="I112">
        <v>4378269</v>
      </c>
      <c r="J112">
        <v>123.04</v>
      </c>
      <c r="K112">
        <v>104.42</v>
      </c>
      <c r="L112">
        <v>3.27</v>
      </c>
      <c r="M112">
        <v>2.73638</v>
      </c>
      <c r="N112">
        <v>6109133</v>
      </c>
      <c r="O112">
        <v>1.9755</v>
      </c>
      <c r="P112">
        <v>2579589</v>
      </c>
      <c r="Q112">
        <v>3000000</v>
      </c>
      <c r="R112">
        <v>3000000</v>
      </c>
      <c r="S112">
        <v>555.85</v>
      </c>
      <c r="T112">
        <v>-77.914500000000004</v>
      </c>
      <c r="U112" t="s">
        <v>608</v>
      </c>
      <c r="V112">
        <v>6.16</v>
      </c>
      <c r="W112">
        <v>1893.3785700000001</v>
      </c>
      <c r="X112" t="s">
        <v>609</v>
      </c>
      <c r="Z112" t="s">
        <v>1356</v>
      </c>
      <c r="AA112">
        <v>2.4151954230550814</v>
      </c>
      <c r="AB112">
        <v>-18.652177327963631</v>
      </c>
      <c r="AC112">
        <v>-46.691144759627669</v>
      </c>
    </row>
    <row r="113" spans="1:29" x14ac:dyDescent="0.3">
      <c r="A113" t="s">
        <v>535</v>
      </c>
      <c r="B113" t="s">
        <v>535</v>
      </c>
      <c r="C113" t="s">
        <v>536</v>
      </c>
      <c r="D113" t="s">
        <v>1122</v>
      </c>
      <c r="E113">
        <v>1.55</v>
      </c>
      <c r="F113">
        <v>314569064</v>
      </c>
      <c r="G113">
        <v>112</v>
      </c>
      <c r="H113">
        <v>1547371246</v>
      </c>
      <c r="I113">
        <v>1306338</v>
      </c>
      <c r="J113">
        <v>1.55</v>
      </c>
      <c r="K113">
        <v>1.36</v>
      </c>
      <c r="L113">
        <v>0.16339799999999999</v>
      </c>
      <c r="M113">
        <v>11.78642</v>
      </c>
      <c r="N113">
        <v>26248911</v>
      </c>
      <c r="O113">
        <v>9.1040799999999997</v>
      </c>
      <c r="P113">
        <v>203292561.339084</v>
      </c>
      <c r="Q113">
        <v>1000000000</v>
      </c>
      <c r="R113">
        <v>1000000000</v>
      </c>
      <c r="S113">
        <v>6.51</v>
      </c>
      <c r="T113">
        <v>-76.323620000000005</v>
      </c>
      <c r="U113" t="s">
        <v>537</v>
      </c>
      <c r="V113">
        <v>1.0680000000000001</v>
      </c>
      <c r="W113">
        <v>44.332819999999998</v>
      </c>
      <c r="X113" t="s">
        <v>1186</v>
      </c>
      <c r="Z113" t="s">
        <v>1357</v>
      </c>
      <c r="AA113">
        <v>4.6825548483047204</v>
      </c>
      <c r="AC113">
        <v>-14.399560362895691</v>
      </c>
    </row>
    <row r="114" spans="1:29" x14ac:dyDescent="0.3">
      <c r="A114" t="s">
        <v>724</v>
      </c>
      <c r="B114" t="s">
        <v>724</v>
      </c>
      <c r="C114" t="s">
        <v>724</v>
      </c>
      <c r="D114" t="s">
        <v>725</v>
      </c>
      <c r="E114">
        <v>0.58803499999999997</v>
      </c>
      <c r="F114">
        <v>313380526</v>
      </c>
      <c r="G114">
        <v>113</v>
      </c>
      <c r="H114">
        <v>877024304</v>
      </c>
      <c r="I114">
        <v>65223892</v>
      </c>
      <c r="J114">
        <v>0.58729799999999999</v>
      </c>
      <c r="K114">
        <v>0.51607999999999998</v>
      </c>
      <c r="L114">
        <v>3.2607669999999998E-2</v>
      </c>
      <c r="M114">
        <v>5.87073</v>
      </c>
      <c r="N114">
        <v>14677490</v>
      </c>
      <c r="O114">
        <v>4.9137399999999998</v>
      </c>
      <c r="P114">
        <v>535983765.44542301</v>
      </c>
      <c r="Q114">
        <v>1500000000</v>
      </c>
      <c r="R114">
        <v>1500000000</v>
      </c>
      <c r="S114">
        <v>7.46</v>
      </c>
      <c r="T114">
        <v>-92.185149999999993</v>
      </c>
      <c r="U114" t="s">
        <v>726</v>
      </c>
      <c r="V114">
        <v>0.51607999999999998</v>
      </c>
      <c r="W114">
        <v>12.911009999999999</v>
      </c>
      <c r="X114" t="s">
        <v>1213</v>
      </c>
      <c r="Z114" t="s">
        <v>1358</v>
      </c>
      <c r="AA114">
        <v>2.7903648452211076</v>
      </c>
      <c r="AB114">
        <v>-80.703671933728842</v>
      </c>
      <c r="AC114">
        <v>-37.424510395475153</v>
      </c>
    </row>
    <row r="115" spans="1:29" x14ac:dyDescent="0.3">
      <c r="A115" t="s">
        <v>698</v>
      </c>
      <c r="B115" t="s">
        <v>699</v>
      </c>
      <c r="C115" t="s">
        <v>700</v>
      </c>
      <c r="D115" t="s">
        <v>701</v>
      </c>
      <c r="E115">
        <v>19.829999999999998</v>
      </c>
      <c r="F115">
        <v>312727281</v>
      </c>
      <c r="G115">
        <v>114</v>
      </c>
      <c r="H115">
        <v>800186208</v>
      </c>
      <c r="I115">
        <v>1917475</v>
      </c>
      <c r="J115">
        <v>19.7</v>
      </c>
      <c r="K115">
        <v>17.41</v>
      </c>
      <c r="L115">
        <v>1.0589999999999999</v>
      </c>
      <c r="M115">
        <v>5.6416500000000003</v>
      </c>
      <c r="N115">
        <v>6873686</v>
      </c>
      <c r="O115">
        <v>2.2473800000000002</v>
      </c>
      <c r="P115">
        <v>16293208</v>
      </c>
      <c r="Q115">
        <v>16293326.5</v>
      </c>
      <c r="R115">
        <v>41690000</v>
      </c>
      <c r="S115">
        <v>207.85</v>
      </c>
      <c r="T115">
        <v>-90.823700000000002</v>
      </c>
      <c r="U115" t="s">
        <v>702</v>
      </c>
      <c r="V115">
        <v>17.38</v>
      </c>
      <c r="W115">
        <v>9.7166899999999998</v>
      </c>
      <c r="X115" t="s">
        <v>1185</v>
      </c>
      <c r="Z115" t="s">
        <v>1359</v>
      </c>
      <c r="AA115">
        <v>4.7630044380608343</v>
      </c>
      <c r="AB115">
        <v>-65.485636603218438</v>
      </c>
      <c r="AC115">
        <v>-14.095475113645712</v>
      </c>
    </row>
    <row r="116" spans="1:29" x14ac:dyDescent="0.3">
      <c r="A116" t="s">
        <v>692</v>
      </c>
      <c r="B116" t="s">
        <v>693</v>
      </c>
      <c r="C116" t="s">
        <v>694</v>
      </c>
      <c r="D116" t="s">
        <v>695</v>
      </c>
      <c r="E116">
        <v>1.1332499999999999E-3</v>
      </c>
      <c r="F116">
        <v>302312471</v>
      </c>
      <c r="G116">
        <v>115</v>
      </c>
      <c r="H116">
        <v>842111731</v>
      </c>
      <c r="I116">
        <v>1261970</v>
      </c>
      <c r="J116">
        <v>1.1572799999999999E-3</v>
      </c>
      <c r="K116">
        <v>1.0589499999999999E-3</v>
      </c>
      <c r="L116">
        <v>-6.6401177836019999E-6</v>
      </c>
      <c r="M116">
        <v>-0.58252000000000004</v>
      </c>
      <c r="N116">
        <v>-5157952.9547943473</v>
      </c>
      <c r="O116">
        <v>-1.67754</v>
      </c>
      <c r="P116">
        <v>269244976587.186</v>
      </c>
      <c r="Q116">
        <v>311108418044.776</v>
      </c>
      <c r="R116">
        <v>750000000000</v>
      </c>
      <c r="S116">
        <v>1.128056E-2</v>
      </c>
      <c r="T116">
        <v>-89.929249999999996</v>
      </c>
      <c r="U116" t="s">
        <v>696</v>
      </c>
      <c r="V116">
        <v>3.0199999999999999E-6</v>
      </c>
      <c r="W116">
        <v>37517.133759999997</v>
      </c>
      <c r="X116" t="s">
        <v>697</v>
      </c>
      <c r="Y116" t="s">
        <v>55</v>
      </c>
      <c r="Z116" t="s">
        <v>1360</v>
      </c>
      <c r="AA116">
        <v>0.52176434302025676</v>
      </c>
      <c r="AB116">
        <v>-35.102817497910088</v>
      </c>
      <c r="AC116">
        <v>-26.449353556544143</v>
      </c>
    </row>
    <row r="117" spans="1:29" x14ac:dyDescent="0.3">
      <c r="A117" t="s">
        <v>703</v>
      </c>
      <c r="B117" t="s">
        <v>703</v>
      </c>
      <c r="C117" t="s">
        <v>704</v>
      </c>
      <c r="D117" t="s">
        <v>705</v>
      </c>
      <c r="E117">
        <v>2.82</v>
      </c>
      <c r="F117">
        <v>293652750</v>
      </c>
      <c r="G117">
        <v>116</v>
      </c>
      <c r="I117">
        <v>71470875</v>
      </c>
      <c r="J117">
        <v>2.82</v>
      </c>
      <c r="K117">
        <v>2.39</v>
      </c>
      <c r="L117">
        <v>0.25281700000000001</v>
      </c>
      <c r="M117">
        <v>9.8457699999999999</v>
      </c>
      <c r="N117">
        <v>25416971</v>
      </c>
      <c r="O117">
        <v>9.4756099999999996</v>
      </c>
      <c r="P117">
        <v>104206751</v>
      </c>
      <c r="Q117">
        <v>107822406</v>
      </c>
      <c r="S117">
        <v>83.32</v>
      </c>
      <c r="T117">
        <v>-96.621889999999993</v>
      </c>
      <c r="U117" t="s">
        <v>706</v>
      </c>
      <c r="V117">
        <v>0.70059400000000005</v>
      </c>
      <c r="W117">
        <v>301.74434000000002</v>
      </c>
      <c r="X117" t="s">
        <v>707</v>
      </c>
      <c r="Y117" t="s">
        <v>55</v>
      </c>
      <c r="Z117" t="s">
        <v>1361</v>
      </c>
      <c r="AA117">
        <v>2.3169016266993947</v>
      </c>
      <c r="AB117">
        <v>-63.893247930417004</v>
      </c>
      <c r="AC117">
        <v>-31.432004494258496</v>
      </c>
    </row>
    <row r="118" spans="1:29" x14ac:dyDescent="0.3">
      <c r="A118" t="s">
        <v>713</v>
      </c>
      <c r="B118" t="s">
        <v>714</v>
      </c>
      <c r="C118" t="s">
        <v>715</v>
      </c>
      <c r="D118" t="s">
        <v>716</v>
      </c>
      <c r="E118">
        <v>0.95470900000000003</v>
      </c>
      <c r="F118">
        <v>292116219</v>
      </c>
      <c r="G118">
        <v>117</v>
      </c>
      <c r="I118">
        <v>28644868</v>
      </c>
      <c r="J118">
        <v>0.97639699999999996</v>
      </c>
      <c r="K118">
        <v>0.94528400000000001</v>
      </c>
      <c r="L118">
        <v>-5.2008286490476952E-3</v>
      </c>
      <c r="M118">
        <v>-0.54179999999999995</v>
      </c>
      <c r="N118">
        <v>-8144849.7632353902</v>
      </c>
      <c r="O118">
        <v>-2.7125900000000001</v>
      </c>
      <c r="P118">
        <v>305665079.32832801</v>
      </c>
      <c r="Q118">
        <v>1818436895.2929101</v>
      </c>
      <c r="S118">
        <v>0.97639699999999996</v>
      </c>
      <c r="T118">
        <v>-2.12323</v>
      </c>
      <c r="U118" t="s">
        <v>1214</v>
      </c>
      <c r="V118">
        <v>0.79110999999999998</v>
      </c>
      <c r="W118">
        <v>20.800599999999999</v>
      </c>
      <c r="X118" t="s">
        <v>717</v>
      </c>
      <c r="Z118" t="s">
        <v>1362</v>
      </c>
      <c r="AA118">
        <v>-0.37321098791522017</v>
      </c>
      <c r="AC118">
        <v>-0.15016226445499192</v>
      </c>
    </row>
    <row r="119" spans="1:29" x14ac:dyDescent="0.3">
      <c r="A119" t="s">
        <v>823</v>
      </c>
      <c r="B119" t="s">
        <v>824</v>
      </c>
      <c r="C119" t="s">
        <v>825</v>
      </c>
      <c r="D119" t="s">
        <v>826</v>
      </c>
      <c r="E119">
        <v>10.25</v>
      </c>
      <c r="F119">
        <v>291650042</v>
      </c>
      <c r="G119">
        <v>118</v>
      </c>
      <c r="I119">
        <v>7007.43</v>
      </c>
      <c r="J119">
        <v>10.43</v>
      </c>
      <c r="K119">
        <v>10.01</v>
      </c>
      <c r="L119">
        <v>2.0054249999999999E-2</v>
      </c>
      <c r="M119">
        <v>0.19608</v>
      </c>
      <c r="N119">
        <v>1880862</v>
      </c>
      <c r="O119">
        <v>0.64908999999999994</v>
      </c>
      <c r="P119">
        <v>28314463.6406</v>
      </c>
      <c r="Q119">
        <v>100000000</v>
      </c>
      <c r="S119">
        <v>394.95</v>
      </c>
      <c r="T119">
        <v>-97.408460000000005</v>
      </c>
      <c r="U119" t="s">
        <v>827</v>
      </c>
      <c r="V119">
        <v>4.5599999999999996</v>
      </c>
      <c r="W119">
        <v>124.65485</v>
      </c>
      <c r="X119" t="s">
        <v>828</v>
      </c>
      <c r="Z119" t="s">
        <v>1363</v>
      </c>
      <c r="AA119">
        <v>5.7990929535809151E-2</v>
      </c>
      <c r="AB119">
        <v>-92.553268251612167</v>
      </c>
      <c r="AC119">
        <v>-21.552750784005671</v>
      </c>
    </row>
    <row r="120" spans="1:29" x14ac:dyDescent="0.3">
      <c r="A120" t="s">
        <v>648</v>
      </c>
      <c r="B120" t="s">
        <v>649</v>
      </c>
      <c r="C120" t="s">
        <v>650</v>
      </c>
      <c r="D120" t="s">
        <v>651</v>
      </c>
      <c r="E120">
        <v>5.537E-5</v>
      </c>
      <c r="F120">
        <v>291430871</v>
      </c>
      <c r="G120">
        <v>119</v>
      </c>
      <c r="H120">
        <v>444452111</v>
      </c>
      <c r="I120">
        <v>319084</v>
      </c>
      <c r="J120">
        <v>5.5630000000000001E-5</v>
      </c>
      <c r="K120">
        <v>4.4929999999999998E-5</v>
      </c>
      <c r="L120">
        <v>6.6200000000000001E-6</v>
      </c>
      <c r="M120">
        <v>13.569419999999999</v>
      </c>
      <c r="N120">
        <v>34392581</v>
      </c>
      <c r="O120">
        <v>13.380330000000001</v>
      </c>
      <c r="P120">
        <v>5275775311594</v>
      </c>
      <c r="Q120">
        <v>8045920000000</v>
      </c>
      <c r="R120">
        <v>8045920000000</v>
      </c>
      <c r="S120">
        <v>8.8380999999999996E-4</v>
      </c>
      <c r="T120">
        <v>-93.705269999999999</v>
      </c>
      <c r="U120" t="s">
        <v>652</v>
      </c>
      <c r="V120">
        <v>3.9950000000000002E-5</v>
      </c>
      <c r="W120">
        <v>39.252809999999997</v>
      </c>
      <c r="X120" t="s">
        <v>1188</v>
      </c>
      <c r="Z120" t="s">
        <v>1364</v>
      </c>
      <c r="AA120">
        <v>1.5226961066422182</v>
      </c>
      <c r="AC120">
        <v>-50.202189157139287</v>
      </c>
    </row>
    <row r="121" spans="1:29" x14ac:dyDescent="0.3">
      <c r="A121" t="s">
        <v>616</v>
      </c>
      <c r="B121" t="s">
        <v>617</v>
      </c>
      <c r="C121" t="s">
        <v>618</v>
      </c>
      <c r="D121" t="s">
        <v>619</v>
      </c>
      <c r="E121">
        <v>0.73460499999999995</v>
      </c>
      <c r="F121">
        <v>286842779</v>
      </c>
      <c r="G121">
        <v>120</v>
      </c>
      <c r="H121">
        <v>2417223652</v>
      </c>
      <c r="I121">
        <v>127691453</v>
      </c>
      <c r="J121">
        <v>0.73554600000000003</v>
      </c>
      <c r="K121">
        <v>0.58448299999999997</v>
      </c>
      <c r="L121">
        <v>7.0704000000000003E-2</v>
      </c>
      <c r="M121">
        <v>10.64974</v>
      </c>
      <c r="N121">
        <v>25661025</v>
      </c>
      <c r="O121">
        <v>9.8249700000000004</v>
      </c>
      <c r="P121">
        <v>391958099.39314461</v>
      </c>
      <c r="Q121">
        <v>1766008075.1248901</v>
      </c>
      <c r="R121">
        <v>3303030299</v>
      </c>
      <c r="S121">
        <v>13.02</v>
      </c>
      <c r="T121">
        <v>-94.362970000000004</v>
      </c>
      <c r="U121" t="s">
        <v>1124</v>
      </c>
      <c r="V121">
        <v>0.279972</v>
      </c>
      <c r="W121">
        <v>162.09018</v>
      </c>
      <c r="X121" t="s">
        <v>620</v>
      </c>
      <c r="Z121" t="s">
        <v>1365</v>
      </c>
      <c r="AA121">
        <v>0.96194488167446079</v>
      </c>
      <c r="AB121">
        <v>-60.891226363973971</v>
      </c>
      <c r="AC121">
        <v>-49.216755869587729</v>
      </c>
    </row>
    <row r="122" spans="1:29" x14ac:dyDescent="0.3">
      <c r="A122" t="s">
        <v>1199</v>
      </c>
      <c r="B122" t="s">
        <v>1200</v>
      </c>
      <c r="C122" t="s">
        <v>1201</v>
      </c>
      <c r="D122" t="s">
        <v>1202</v>
      </c>
      <c r="E122">
        <v>2.2999999999999998</v>
      </c>
      <c r="F122">
        <v>286078978</v>
      </c>
      <c r="G122">
        <v>121</v>
      </c>
      <c r="I122">
        <v>124766824</v>
      </c>
      <c r="J122">
        <v>2.44</v>
      </c>
      <c r="K122">
        <v>2.0299999999999998</v>
      </c>
      <c r="L122">
        <v>-5.1600172297792568E-2</v>
      </c>
      <c r="M122">
        <v>-2.19109</v>
      </c>
      <c r="N122">
        <v>286078978</v>
      </c>
      <c r="O122">
        <v>0</v>
      </c>
      <c r="P122">
        <v>124767930.301209</v>
      </c>
      <c r="Q122">
        <v>1004380280.7141</v>
      </c>
      <c r="S122">
        <v>17.579999999999998</v>
      </c>
      <c r="T122">
        <v>-87.020799999999994</v>
      </c>
      <c r="U122" t="s">
        <v>1203</v>
      </c>
      <c r="V122">
        <v>1.85</v>
      </c>
      <c r="W122">
        <v>23.590260000000001</v>
      </c>
      <c r="X122" t="s">
        <v>1204</v>
      </c>
      <c r="Z122" t="s">
        <v>1366</v>
      </c>
      <c r="AA122">
        <v>1.427366248557614</v>
      </c>
    </row>
    <row r="123" spans="1:29" x14ac:dyDescent="0.3">
      <c r="A123" t="s">
        <v>638</v>
      </c>
      <c r="B123" t="s">
        <v>639</v>
      </c>
      <c r="C123" t="s">
        <v>640</v>
      </c>
      <c r="D123" t="s">
        <v>641</v>
      </c>
      <c r="E123">
        <v>15.87</v>
      </c>
      <c r="F123">
        <v>276499612</v>
      </c>
      <c r="G123">
        <v>122</v>
      </c>
      <c r="I123">
        <v>11712059</v>
      </c>
      <c r="J123">
        <v>15.82</v>
      </c>
      <c r="K123">
        <v>13.72</v>
      </c>
      <c r="L123">
        <v>0.88988500000000004</v>
      </c>
      <c r="M123">
        <v>5.9391499999999997</v>
      </c>
      <c r="N123">
        <v>14553372</v>
      </c>
      <c r="O123">
        <v>5.55586</v>
      </c>
      <c r="P123">
        <v>17513924</v>
      </c>
      <c r="Q123">
        <v>21000000</v>
      </c>
      <c r="S123">
        <v>384.09</v>
      </c>
      <c r="T123">
        <v>-95.879620000000003</v>
      </c>
      <c r="U123" t="s">
        <v>182</v>
      </c>
      <c r="V123">
        <v>3.81</v>
      </c>
      <c r="W123">
        <v>315.82051999999999</v>
      </c>
      <c r="X123" t="s">
        <v>642</v>
      </c>
      <c r="Z123" t="s">
        <v>1367</v>
      </c>
      <c r="AA123">
        <v>2.4790124500807469</v>
      </c>
      <c r="AB123">
        <v>-68.614793258680479</v>
      </c>
      <c r="AC123">
        <v>-18.938292216931927</v>
      </c>
    </row>
    <row r="124" spans="1:29" x14ac:dyDescent="0.3">
      <c r="A124" t="s">
        <v>899</v>
      </c>
      <c r="B124" t="s">
        <v>900</v>
      </c>
      <c r="C124" t="s">
        <v>901</v>
      </c>
      <c r="D124" t="s">
        <v>902</v>
      </c>
      <c r="E124">
        <v>2.76</v>
      </c>
      <c r="F124">
        <v>273347432</v>
      </c>
      <c r="G124">
        <v>123</v>
      </c>
      <c r="I124">
        <v>339343</v>
      </c>
      <c r="J124">
        <v>2.75</v>
      </c>
      <c r="K124">
        <v>2.46</v>
      </c>
      <c r="L124">
        <v>0.230517</v>
      </c>
      <c r="M124">
        <v>9.1265199999999993</v>
      </c>
      <c r="N124">
        <v>20330662</v>
      </c>
      <c r="O124">
        <v>8.0352999999999994</v>
      </c>
      <c r="P124">
        <v>100000000</v>
      </c>
      <c r="Q124">
        <v>10000000000</v>
      </c>
      <c r="S124">
        <v>8.0500000000000007</v>
      </c>
      <c r="T124">
        <v>-66.363159999999993</v>
      </c>
      <c r="U124" t="s">
        <v>903</v>
      </c>
      <c r="V124">
        <v>0.163885</v>
      </c>
      <c r="W124">
        <v>1552.68769</v>
      </c>
      <c r="X124" t="s">
        <v>904</v>
      </c>
      <c r="Z124" t="s">
        <v>1368</v>
      </c>
      <c r="AA124">
        <v>3.5603998117101847</v>
      </c>
      <c r="AB124">
        <v>-23.062424324308267</v>
      </c>
      <c r="AC124">
        <v>2.1878900450057173</v>
      </c>
    </row>
    <row r="125" spans="1:29" x14ac:dyDescent="0.3">
      <c r="A125" t="s">
        <v>761</v>
      </c>
      <c r="B125" t="s">
        <v>762</v>
      </c>
      <c r="C125" t="s">
        <v>763</v>
      </c>
      <c r="D125" t="s">
        <v>764</v>
      </c>
      <c r="E125">
        <v>1.92</v>
      </c>
      <c r="F125">
        <v>268258443</v>
      </c>
      <c r="G125">
        <v>124</v>
      </c>
      <c r="H125">
        <v>268258443</v>
      </c>
      <c r="I125">
        <v>72660608</v>
      </c>
      <c r="J125">
        <v>1.91</v>
      </c>
      <c r="K125">
        <v>1.67</v>
      </c>
      <c r="L125">
        <v>0.12889800000000001</v>
      </c>
      <c r="M125">
        <v>7.2030099999999999</v>
      </c>
      <c r="N125">
        <v>16433457</v>
      </c>
      <c r="O125">
        <v>6.5257500000000004</v>
      </c>
      <c r="P125">
        <v>140245398.24513301</v>
      </c>
      <c r="Q125">
        <v>140245398.24513301</v>
      </c>
      <c r="R125">
        <v>140245398.24513301</v>
      </c>
      <c r="S125">
        <v>21.12</v>
      </c>
      <c r="T125">
        <v>-90.981340000000003</v>
      </c>
      <c r="U125" t="s">
        <v>188</v>
      </c>
      <c r="V125">
        <v>0.31379000000000001</v>
      </c>
      <c r="W125">
        <v>506.96098999999998</v>
      </c>
      <c r="X125" t="s">
        <v>765</v>
      </c>
      <c r="Z125" t="s">
        <v>1369</v>
      </c>
      <c r="AA125">
        <v>3.0277760071874065</v>
      </c>
      <c r="AB125">
        <v>-55.467129601885759</v>
      </c>
      <c r="AC125">
        <v>-25.105932362275961</v>
      </c>
    </row>
    <row r="126" spans="1:29" x14ac:dyDescent="0.3">
      <c r="A126" t="s">
        <v>840</v>
      </c>
      <c r="B126" t="s">
        <v>840</v>
      </c>
      <c r="C126" t="s">
        <v>841</v>
      </c>
      <c r="D126" t="s">
        <v>842</v>
      </c>
      <c r="E126">
        <v>7.9446999999999997E-8</v>
      </c>
      <c r="F126">
        <v>248956082</v>
      </c>
      <c r="G126">
        <v>125</v>
      </c>
      <c r="I126">
        <v>915.76</v>
      </c>
      <c r="J126">
        <v>7.9253000000000002E-8</v>
      </c>
      <c r="K126">
        <v>6.8318000000000003E-8</v>
      </c>
      <c r="L126">
        <v>4.7619999999999999E-9</v>
      </c>
      <c r="M126">
        <v>6.3757799999999998</v>
      </c>
      <c r="N126">
        <v>-9764593.8800449353</v>
      </c>
      <c r="O126">
        <v>-3.7741799999999999</v>
      </c>
      <c r="P126">
        <v>0</v>
      </c>
      <c r="Q126">
        <v>1000000000000000</v>
      </c>
      <c r="S126">
        <v>9.0100000000000001E-6</v>
      </c>
      <c r="T126">
        <v>-99.127020000000002</v>
      </c>
      <c r="U126" t="s">
        <v>843</v>
      </c>
      <c r="V126">
        <v>3.7108999999999998E-8</v>
      </c>
      <c r="W126">
        <v>111.94025999999999</v>
      </c>
      <c r="X126" t="s">
        <v>844</v>
      </c>
      <c r="Z126" t="s">
        <v>1370</v>
      </c>
      <c r="AA126">
        <v>3.7795339017058778</v>
      </c>
      <c r="AB126">
        <v>-97.800881864048321</v>
      </c>
      <c r="AC126">
        <v>-29.276952683760371</v>
      </c>
    </row>
    <row r="127" spans="1:29" x14ac:dyDescent="0.3">
      <c r="A127" t="s">
        <v>669</v>
      </c>
      <c r="B127" t="s">
        <v>670</v>
      </c>
      <c r="C127" t="s">
        <v>671</v>
      </c>
      <c r="D127" t="s">
        <v>672</v>
      </c>
      <c r="E127">
        <v>4.38</v>
      </c>
      <c r="F127">
        <v>263430778</v>
      </c>
      <c r="G127">
        <v>126</v>
      </c>
      <c r="H127">
        <v>436410601</v>
      </c>
      <c r="I127">
        <v>12192529</v>
      </c>
      <c r="J127">
        <v>4.43</v>
      </c>
      <c r="K127">
        <v>4.0599999999999996</v>
      </c>
      <c r="L127">
        <v>-3.4779725205496001E-3</v>
      </c>
      <c r="M127">
        <v>-7.9259999999999997E-2</v>
      </c>
      <c r="N127">
        <v>-90825.097078055143</v>
      </c>
      <c r="O127">
        <v>-3.4470000000000001E-2</v>
      </c>
      <c r="P127">
        <v>60256204.421220586</v>
      </c>
      <c r="Q127">
        <v>99822984.114571407</v>
      </c>
      <c r="R127">
        <v>99822984.114571407</v>
      </c>
      <c r="S127">
        <v>38.74</v>
      </c>
      <c r="T127">
        <v>-88.712360000000004</v>
      </c>
      <c r="U127" t="s">
        <v>673</v>
      </c>
      <c r="V127">
        <v>1.26</v>
      </c>
      <c r="W127">
        <v>247.21177</v>
      </c>
      <c r="X127" t="s">
        <v>674</v>
      </c>
      <c r="Z127" t="s">
        <v>1371</v>
      </c>
      <c r="AA127">
        <v>1.1712956237399244</v>
      </c>
      <c r="AB127">
        <v>151.26756397897353</v>
      </c>
      <c r="AC127">
        <v>-50.249078683847074</v>
      </c>
    </row>
    <row r="128" spans="1:29" x14ac:dyDescent="0.3">
      <c r="A128" t="s">
        <v>771</v>
      </c>
      <c r="B128" t="s">
        <v>772</v>
      </c>
      <c r="C128" t="s">
        <v>773</v>
      </c>
      <c r="D128" t="s">
        <v>774</v>
      </c>
      <c r="E128">
        <v>0.87573400000000001</v>
      </c>
      <c r="F128">
        <v>260791974</v>
      </c>
      <c r="G128">
        <v>127</v>
      </c>
      <c r="I128">
        <v>23647024</v>
      </c>
      <c r="J128">
        <v>0.877355</v>
      </c>
      <c r="K128">
        <v>0.74296700000000004</v>
      </c>
      <c r="L128">
        <v>4.4123229999999999E-2</v>
      </c>
      <c r="M128">
        <v>5.3057600000000003</v>
      </c>
      <c r="N128">
        <v>12131465</v>
      </c>
      <c r="O128">
        <v>4.87873</v>
      </c>
      <c r="P128">
        <v>298013370</v>
      </c>
      <c r="Q128">
        <v>1023238142</v>
      </c>
      <c r="S128">
        <v>17.22</v>
      </c>
      <c r="T128">
        <v>-94.921880000000002</v>
      </c>
      <c r="U128" t="s">
        <v>775</v>
      </c>
      <c r="V128">
        <v>0.74296700000000004</v>
      </c>
      <c r="W128">
        <v>17.722799999999999</v>
      </c>
      <c r="X128" t="s">
        <v>1215</v>
      </c>
      <c r="Z128" t="s">
        <v>1372</v>
      </c>
      <c r="AA128">
        <v>1.8234801802887528</v>
      </c>
      <c r="AC128">
        <v>-35.289957454165794</v>
      </c>
    </row>
    <row r="129" spans="1:29" x14ac:dyDescent="0.3">
      <c r="A129" t="s">
        <v>739</v>
      </c>
      <c r="B129" t="s">
        <v>740</v>
      </c>
      <c r="C129" t="s">
        <v>741</v>
      </c>
      <c r="D129" t="s">
        <v>742</v>
      </c>
      <c r="E129">
        <v>12.55</v>
      </c>
      <c r="F129">
        <v>260625492</v>
      </c>
      <c r="G129">
        <v>128</v>
      </c>
      <c r="H129">
        <v>281340817</v>
      </c>
      <c r="I129">
        <v>7504014</v>
      </c>
      <c r="J129">
        <v>13.04</v>
      </c>
      <c r="K129">
        <v>11.85</v>
      </c>
      <c r="L129">
        <v>-0.23268966434046767</v>
      </c>
      <c r="M129">
        <v>-1.8207100000000001</v>
      </c>
      <c r="N129">
        <v>-7199579.9823873639</v>
      </c>
      <c r="O129">
        <v>-2.6881699999999999</v>
      </c>
      <c r="P129">
        <v>20857224.160584927</v>
      </c>
      <c r="Q129">
        <v>22515021.241420601</v>
      </c>
      <c r="R129">
        <v>22515021.241420601</v>
      </c>
      <c r="S129">
        <v>1343.06</v>
      </c>
      <c r="T129">
        <v>-99.074770000000001</v>
      </c>
      <c r="U129" t="s">
        <v>743</v>
      </c>
      <c r="V129">
        <v>11.6</v>
      </c>
      <c r="W129">
        <v>7.1521499999999998</v>
      </c>
      <c r="X129" t="s">
        <v>1187</v>
      </c>
      <c r="Z129" t="s">
        <v>1373</v>
      </c>
      <c r="AA129">
        <v>-1.3701993763334837</v>
      </c>
      <c r="AB129">
        <v>-92.554080946219358</v>
      </c>
      <c r="AC129">
        <v>-21.505950679170773</v>
      </c>
    </row>
    <row r="130" spans="1:29" x14ac:dyDescent="0.3">
      <c r="A130" t="s">
        <v>687</v>
      </c>
      <c r="B130" t="s">
        <v>687</v>
      </c>
      <c r="C130" t="s">
        <v>688</v>
      </c>
      <c r="D130" t="s">
        <v>689</v>
      </c>
      <c r="E130">
        <v>38.47</v>
      </c>
      <c r="F130">
        <v>260389166</v>
      </c>
      <c r="G130">
        <v>129</v>
      </c>
      <c r="H130">
        <v>260389166</v>
      </c>
      <c r="I130">
        <v>13129.82</v>
      </c>
      <c r="J130">
        <v>38.450000000000003</v>
      </c>
      <c r="K130">
        <v>31.73</v>
      </c>
      <c r="L130">
        <v>1.77</v>
      </c>
      <c r="M130">
        <v>4.8297299999999996</v>
      </c>
      <c r="N130">
        <v>10834140</v>
      </c>
      <c r="O130">
        <v>4.34138</v>
      </c>
      <c r="P130">
        <v>6789956.0310590798</v>
      </c>
      <c r="Q130">
        <v>6789956.0310590798</v>
      </c>
      <c r="R130">
        <v>6789956.0310590798</v>
      </c>
      <c r="S130">
        <v>161.30000000000001</v>
      </c>
      <c r="T130">
        <v>-76.219620000000006</v>
      </c>
      <c r="U130" t="s">
        <v>690</v>
      </c>
      <c r="V130">
        <v>6.01</v>
      </c>
      <c r="W130">
        <v>537.73743999999999</v>
      </c>
      <c r="X130" t="s">
        <v>691</v>
      </c>
      <c r="Z130" t="s">
        <v>1374</v>
      </c>
      <c r="AA130">
        <v>3.5943078009457148</v>
      </c>
      <c r="AB130">
        <v>-52.85596088068413</v>
      </c>
      <c r="AC130">
        <v>-44.730065809881211</v>
      </c>
    </row>
    <row r="131" spans="1:29" x14ac:dyDescent="0.3">
      <c r="A131" t="s">
        <v>718</v>
      </c>
      <c r="B131" t="s">
        <v>719</v>
      </c>
      <c r="C131" t="s">
        <v>720</v>
      </c>
      <c r="D131" t="s">
        <v>721</v>
      </c>
      <c r="E131">
        <v>3.24</v>
      </c>
      <c r="F131">
        <v>259571591</v>
      </c>
      <c r="G131">
        <v>130</v>
      </c>
      <c r="H131">
        <v>324480713</v>
      </c>
      <c r="I131">
        <v>7342086</v>
      </c>
      <c r="J131">
        <v>3.38</v>
      </c>
      <c r="K131">
        <v>2.94</v>
      </c>
      <c r="L131">
        <v>-1.5742317517079663E-2</v>
      </c>
      <c r="M131">
        <v>-0.48414000000000001</v>
      </c>
      <c r="N131">
        <v>-1311359.3431664407</v>
      </c>
      <c r="O131">
        <v>-0.50266</v>
      </c>
      <c r="P131">
        <v>79996000</v>
      </c>
      <c r="Q131">
        <v>100000000</v>
      </c>
      <c r="R131">
        <v>100000000</v>
      </c>
      <c r="S131">
        <v>11.17</v>
      </c>
      <c r="T131">
        <v>-71.370549999999994</v>
      </c>
      <c r="U131" t="s">
        <v>722</v>
      </c>
      <c r="V131">
        <v>9.9722000000000005E-2</v>
      </c>
      <c r="W131">
        <v>3106.3707199999999</v>
      </c>
      <c r="X131" t="s">
        <v>723</v>
      </c>
      <c r="Y131" t="s">
        <v>55</v>
      </c>
      <c r="Z131" t="s">
        <v>1375</v>
      </c>
      <c r="AA131">
        <v>1.7467261615500926</v>
      </c>
      <c r="AB131">
        <v>-26.318292835460856</v>
      </c>
      <c r="AC131">
        <v>-41.083938014402591</v>
      </c>
    </row>
    <row r="132" spans="1:29" x14ac:dyDescent="0.3">
      <c r="A132" t="s">
        <v>755</v>
      </c>
      <c r="B132" t="s">
        <v>756</v>
      </c>
      <c r="C132" t="s">
        <v>757</v>
      </c>
      <c r="D132" t="s">
        <v>758</v>
      </c>
      <c r="E132">
        <v>2.7130970000000001E-2</v>
      </c>
      <c r="F132">
        <v>255580264</v>
      </c>
      <c r="G132">
        <v>131</v>
      </c>
      <c r="H132">
        <v>256405133</v>
      </c>
      <c r="I132">
        <v>49610963</v>
      </c>
      <c r="J132">
        <v>2.711937E-2</v>
      </c>
      <c r="K132">
        <v>2.2892260000000001E-2</v>
      </c>
      <c r="L132">
        <v>2.6971600000000001E-3</v>
      </c>
      <c r="M132">
        <v>11.03866</v>
      </c>
      <c r="N132">
        <v>22648006</v>
      </c>
      <c r="O132">
        <v>9.7230000000000008</v>
      </c>
      <c r="P132">
        <v>9465716822.1338692</v>
      </c>
      <c r="Q132">
        <v>9496266827.3199997</v>
      </c>
      <c r="R132">
        <v>9496266827.3199997</v>
      </c>
      <c r="S132">
        <v>0.22334499999999999</v>
      </c>
      <c r="T132">
        <v>-87.897289999999998</v>
      </c>
      <c r="U132" t="s">
        <v>759</v>
      </c>
      <c r="V132">
        <v>1.08713E-3</v>
      </c>
      <c r="W132">
        <v>2386.43768</v>
      </c>
      <c r="X132" t="s">
        <v>760</v>
      </c>
      <c r="Z132" t="s">
        <v>1376</v>
      </c>
      <c r="AA132">
        <v>2.2869685320576587</v>
      </c>
      <c r="AB132">
        <v>27.669821795191226</v>
      </c>
      <c r="AC132">
        <v>-15.304076400705918</v>
      </c>
    </row>
    <row r="133" spans="1:29" x14ac:dyDescent="0.3">
      <c r="A133" t="s">
        <v>996</v>
      </c>
      <c r="B133" t="s">
        <v>997</v>
      </c>
      <c r="C133" t="s">
        <v>998</v>
      </c>
      <c r="D133" t="s">
        <v>999</v>
      </c>
      <c r="E133">
        <v>5.1013999999999997E-2</v>
      </c>
      <c r="F133">
        <v>255242616</v>
      </c>
      <c r="G133">
        <v>132</v>
      </c>
      <c r="H133">
        <v>507505445</v>
      </c>
      <c r="I133">
        <v>70622910</v>
      </c>
      <c r="J133">
        <v>5.0992999999999997E-2</v>
      </c>
      <c r="K133">
        <v>4.4013980000000001E-2</v>
      </c>
      <c r="L133">
        <v>3.42648E-3</v>
      </c>
      <c r="M133">
        <v>7.2003300000000001</v>
      </c>
      <c r="N133">
        <v>15005763</v>
      </c>
      <c r="O133">
        <v>6.2462400000000002</v>
      </c>
      <c r="P133">
        <v>5029357184</v>
      </c>
      <c r="Q133">
        <v>10000000000</v>
      </c>
      <c r="R133">
        <v>10000000000</v>
      </c>
      <c r="S133">
        <v>0.52328600000000003</v>
      </c>
      <c r="T133">
        <v>-90.336449999999999</v>
      </c>
      <c r="U133" t="s">
        <v>1000</v>
      </c>
      <c r="V133">
        <v>2.688047E-2</v>
      </c>
      <c r="W133">
        <v>88.121709999999993</v>
      </c>
      <c r="X133" t="s">
        <v>1001</v>
      </c>
      <c r="Z133" t="s">
        <v>1377</v>
      </c>
      <c r="AA133">
        <v>2.8550059426829706</v>
      </c>
      <c r="AB133">
        <v>-15.171906858877801</v>
      </c>
      <c r="AC133">
        <v>-38.574240039974136</v>
      </c>
    </row>
    <row r="134" spans="1:29" x14ac:dyDescent="0.3">
      <c r="A134" t="s">
        <v>681</v>
      </c>
      <c r="B134" t="s">
        <v>682</v>
      </c>
      <c r="C134" t="s">
        <v>683</v>
      </c>
      <c r="D134" t="s">
        <v>684</v>
      </c>
      <c r="E134">
        <v>0.58790100000000001</v>
      </c>
      <c r="F134">
        <v>250622238</v>
      </c>
      <c r="G134">
        <v>133</v>
      </c>
      <c r="H134">
        <v>589201321</v>
      </c>
      <c r="I134">
        <v>6022153</v>
      </c>
      <c r="J134">
        <v>0.60223400000000005</v>
      </c>
      <c r="K134">
        <v>0.48852699999999999</v>
      </c>
      <c r="L134">
        <v>4.31534E-3</v>
      </c>
      <c r="M134">
        <v>0.73945000000000005</v>
      </c>
      <c r="N134">
        <v>5607957</v>
      </c>
      <c r="O134">
        <v>2.2888299999999999</v>
      </c>
      <c r="P134">
        <v>425359259.87306303</v>
      </c>
      <c r="Q134">
        <v>1000000000</v>
      </c>
      <c r="R134">
        <v>1000000000</v>
      </c>
      <c r="S134">
        <v>6.25</v>
      </c>
      <c r="T134">
        <v>-90.51491</v>
      </c>
      <c r="U134" t="s">
        <v>685</v>
      </c>
      <c r="V134">
        <v>0.427263</v>
      </c>
      <c r="W134">
        <v>38.848480000000002</v>
      </c>
      <c r="X134" t="s">
        <v>686</v>
      </c>
      <c r="Z134" t="s">
        <v>1378</v>
      </c>
      <c r="AA134">
        <v>1.1454804410268491</v>
      </c>
      <c r="AB134">
        <v>-71.886078860489761</v>
      </c>
      <c r="AC134">
        <v>-58.508623942072191</v>
      </c>
    </row>
    <row r="135" spans="1:29" x14ac:dyDescent="0.3">
      <c r="A135" t="s">
        <v>529</v>
      </c>
      <c r="B135" t="s">
        <v>530</v>
      </c>
      <c r="C135" t="s">
        <v>531</v>
      </c>
      <c r="D135" t="s">
        <v>532</v>
      </c>
      <c r="E135">
        <v>3.95</v>
      </c>
      <c r="F135">
        <v>247630949</v>
      </c>
      <c r="G135">
        <v>134</v>
      </c>
      <c r="H135">
        <v>391458220</v>
      </c>
      <c r="I135">
        <v>13812759</v>
      </c>
      <c r="J135">
        <v>4.0199999999999996</v>
      </c>
      <c r="K135">
        <v>3.29</v>
      </c>
      <c r="L135">
        <v>0.21030199999999999</v>
      </c>
      <c r="M135">
        <v>5.6260500000000002</v>
      </c>
      <c r="N135">
        <v>11512310</v>
      </c>
      <c r="O135">
        <v>4.8756500000000003</v>
      </c>
      <c r="P135">
        <v>63258589.825833499</v>
      </c>
      <c r="Q135">
        <v>91378824.550274998</v>
      </c>
      <c r="R135">
        <v>100000000</v>
      </c>
      <c r="S135">
        <v>52.83</v>
      </c>
      <c r="T135">
        <v>-92.574780000000004</v>
      </c>
      <c r="U135" t="s">
        <v>533</v>
      </c>
      <c r="V135">
        <v>1.62</v>
      </c>
      <c r="W135">
        <v>142.51594</v>
      </c>
      <c r="X135" t="s">
        <v>534</v>
      </c>
      <c r="Z135" t="s">
        <v>1379</v>
      </c>
      <c r="AA135">
        <v>2.4186748436135734</v>
      </c>
      <c r="AB135">
        <v>-18.395360815237996</v>
      </c>
      <c r="AC135">
        <v>-65.119288245692672</v>
      </c>
    </row>
    <row r="136" spans="1:29" x14ac:dyDescent="0.3">
      <c r="A136" t="s">
        <v>744</v>
      </c>
      <c r="B136" t="s">
        <v>745</v>
      </c>
      <c r="C136" t="s">
        <v>746</v>
      </c>
      <c r="D136" t="s">
        <v>747</v>
      </c>
      <c r="E136">
        <v>1.1425070000000001E-2</v>
      </c>
      <c r="F136">
        <v>246819426</v>
      </c>
      <c r="G136">
        <v>135</v>
      </c>
      <c r="H136">
        <v>1130638093</v>
      </c>
      <c r="I136">
        <v>9065677</v>
      </c>
      <c r="J136">
        <v>1.130638E-2</v>
      </c>
      <c r="K136">
        <v>7.6921400000000001E-3</v>
      </c>
      <c r="L136">
        <v>2.7804000000000001E-3</v>
      </c>
      <c r="M136">
        <v>32.163139999999999</v>
      </c>
      <c r="N136">
        <v>57620480</v>
      </c>
      <c r="O136">
        <v>30.454969999999999</v>
      </c>
      <c r="P136">
        <v>21830099987</v>
      </c>
      <c r="Q136">
        <v>100000000000</v>
      </c>
      <c r="R136">
        <v>100000000000</v>
      </c>
      <c r="S136">
        <v>8.2857E-2</v>
      </c>
      <c r="T136">
        <v>-87.29513</v>
      </c>
      <c r="U136" t="s">
        <v>748</v>
      </c>
      <c r="V136">
        <v>6.16155E-3</v>
      </c>
      <c r="W136">
        <v>70.848889999999997</v>
      </c>
      <c r="X136" t="s">
        <v>1190</v>
      </c>
      <c r="Z136" t="s">
        <v>1380</v>
      </c>
      <c r="AA136">
        <v>25.164342053784132</v>
      </c>
      <c r="AC136">
        <v>-55.788262256262875</v>
      </c>
    </row>
    <row r="137" spans="1:29" x14ac:dyDescent="0.3">
      <c r="A137" t="s">
        <v>675</v>
      </c>
      <c r="B137" t="s">
        <v>676</v>
      </c>
      <c r="C137" t="s">
        <v>677</v>
      </c>
      <c r="D137" t="s">
        <v>678</v>
      </c>
      <c r="E137">
        <v>4.2868000000000002E-4</v>
      </c>
      <c r="F137">
        <v>235965794</v>
      </c>
      <c r="G137">
        <v>136</v>
      </c>
      <c r="I137">
        <v>796940</v>
      </c>
      <c r="J137">
        <v>4.3457000000000001E-4</v>
      </c>
      <c r="K137">
        <v>3.8817000000000002E-4</v>
      </c>
      <c r="L137">
        <v>9.1500000000000005E-6</v>
      </c>
      <c r="M137">
        <v>2.1811600000000002</v>
      </c>
      <c r="N137">
        <v>-2521273.6450837553</v>
      </c>
      <c r="O137">
        <v>-1.0571999999999999</v>
      </c>
      <c r="P137">
        <v>562875321069.25037</v>
      </c>
      <c r="Q137">
        <v>1000000000000</v>
      </c>
      <c r="S137">
        <v>2.9816299999999999E-3</v>
      </c>
      <c r="T137">
        <v>-85.888480000000001</v>
      </c>
      <c r="U137" t="s">
        <v>679</v>
      </c>
      <c r="V137">
        <v>2.4438999999999998E-4</v>
      </c>
      <c r="W137">
        <v>72.164850000000001</v>
      </c>
      <c r="X137" t="s">
        <v>680</v>
      </c>
      <c r="Z137" t="s">
        <v>1381</v>
      </c>
      <c r="AA137">
        <v>3.7944292607280929</v>
      </c>
      <c r="AC137">
        <v>-5.2062350178388757</v>
      </c>
    </row>
    <row r="138" spans="1:29" x14ac:dyDescent="0.3">
      <c r="A138" t="s">
        <v>202</v>
      </c>
      <c r="B138" t="s">
        <v>790</v>
      </c>
      <c r="C138" t="s">
        <v>791</v>
      </c>
      <c r="D138" t="s">
        <v>792</v>
      </c>
      <c r="E138">
        <v>38.64</v>
      </c>
      <c r="F138">
        <v>235501767</v>
      </c>
      <c r="G138">
        <v>137</v>
      </c>
      <c r="I138">
        <v>944191</v>
      </c>
      <c r="J138">
        <v>38.5</v>
      </c>
      <c r="K138">
        <v>31.24</v>
      </c>
      <c r="L138">
        <v>5.45</v>
      </c>
      <c r="M138">
        <v>16.424040000000002</v>
      </c>
      <c r="N138">
        <v>29317465</v>
      </c>
      <c r="O138">
        <v>14.219060000000001</v>
      </c>
      <c r="P138">
        <v>6116142.7085370002</v>
      </c>
      <c r="Q138">
        <v>6225959</v>
      </c>
      <c r="S138">
        <v>293.62</v>
      </c>
      <c r="T138">
        <v>-86.922629999999998</v>
      </c>
      <c r="U138" t="s">
        <v>793</v>
      </c>
      <c r="V138">
        <v>0.92399900000000001</v>
      </c>
      <c r="W138">
        <v>4055.6249699999998</v>
      </c>
      <c r="X138" t="s">
        <v>794</v>
      </c>
      <c r="Z138" t="s">
        <v>1382</v>
      </c>
      <c r="AA138">
        <v>4.2914808395167992</v>
      </c>
      <c r="AB138">
        <v>-55.683416924974175</v>
      </c>
      <c r="AC138">
        <v>-31.430626590094938</v>
      </c>
    </row>
    <row r="139" spans="1:29" x14ac:dyDescent="0.3">
      <c r="A139" t="s">
        <v>708</v>
      </c>
      <c r="B139" t="s">
        <v>709</v>
      </c>
      <c r="C139" t="s">
        <v>710</v>
      </c>
      <c r="D139" t="s">
        <v>711</v>
      </c>
      <c r="E139">
        <v>33.61</v>
      </c>
      <c r="F139">
        <v>229384528</v>
      </c>
      <c r="G139">
        <v>138</v>
      </c>
      <c r="H139">
        <v>334570681</v>
      </c>
      <c r="I139">
        <v>67004292</v>
      </c>
      <c r="J139">
        <v>33.94</v>
      </c>
      <c r="K139">
        <v>28.32</v>
      </c>
      <c r="L139">
        <v>1.33</v>
      </c>
      <c r="M139">
        <v>4.1291500000000001</v>
      </c>
      <c r="N139">
        <v>7789529</v>
      </c>
      <c r="O139">
        <v>3.5152100000000002</v>
      </c>
      <c r="P139">
        <v>6856085.7632915396</v>
      </c>
      <c r="Q139">
        <v>10000000</v>
      </c>
      <c r="R139">
        <v>10000000</v>
      </c>
      <c r="S139">
        <v>750.43</v>
      </c>
      <c r="T139">
        <v>-95.531589999999994</v>
      </c>
      <c r="U139" t="s">
        <v>712</v>
      </c>
      <c r="V139">
        <v>28.32</v>
      </c>
      <c r="W139">
        <v>18.401129999999998</v>
      </c>
      <c r="X139" t="s">
        <v>1216</v>
      </c>
      <c r="Z139" t="s">
        <v>1383</v>
      </c>
      <c r="AA139">
        <v>2.8432632584379309</v>
      </c>
      <c r="AB139">
        <v>-87.926583909228071</v>
      </c>
      <c r="AC139">
        <v>-53.288087333474834</v>
      </c>
    </row>
    <row r="140" spans="1:29" x14ac:dyDescent="0.3">
      <c r="A140" t="s">
        <v>829</v>
      </c>
      <c r="B140" t="s">
        <v>830</v>
      </c>
      <c r="C140" t="s">
        <v>831</v>
      </c>
      <c r="D140" t="s">
        <v>832</v>
      </c>
      <c r="E140">
        <v>0.958785</v>
      </c>
      <c r="F140">
        <v>229331533</v>
      </c>
      <c r="G140">
        <v>139</v>
      </c>
      <c r="I140">
        <v>7906805</v>
      </c>
      <c r="J140">
        <v>0.97495200000000004</v>
      </c>
      <c r="K140">
        <v>0.94923500000000005</v>
      </c>
      <c r="L140">
        <v>-3.1814582876514841E-3</v>
      </c>
      <c r="M140">
        <v>-0.33072000000000001</v>
      </c>
      <c r="N140">
        <v>-164577328.67256102</v>
      </c>
      <c r="O140">
        <v>-41.780560000000001</v>
      </c>
      <c r="P140">
        <v>239438326.24000001</v>
      </c>
      <c r="Q140">
        <v>239438326.24000001</v>
      </c>
      <c r="S140">
        <v>2.85</v>
      </c>
      <c r="T140">
        <v>-66.39067</v>
      </c>
      <c r="U140" t="s">
        <v>833</v>
      </c>
      <c r="V140">
        <v>0.67398400000000003</v>
      </c>
      <c r="W140">
        <v>42.29448</v>
      </c>
      <c r="X140" t="s">
        <v>834</v>
      </c>
      <c r="Y140" t="s">
        <v>55</v>
      </c>
      <c r="Z140" t="s">
        <v>1384</v>
      </c>
      <c r="AA140">
        <v>-6.8506016046340351E-2</v>
      </c>
      <c r="AB140">
        <v>15.587824889683668</v>
      </c>
      <c r="AC140">
        <v>-0.45364066097410161</v>
      </c>
    </row>
    <row r="141" spans="1:29" x14ac:dyDescent="0.3">
      <c r="A141" t="s">
        <v>964</v>
      </c>
      <c r="B141" t="s">
        <v>965</v>
      </c>
      <c r="C141" t="s">
        <v>966</v>
      </c>
      <c r="D141" t="s">
        <v>967</v>
      </c>
      <c r="E141">
        <v>0.54005199999999998</v>
      </c>
      <c r="F141">
        <v>227588608</v>
      </c>
      <c r="G141">
        <v>140</v>
      </c>
      <c r="I141">
        <v>51288150</v>
      </c>
      <c r="J141">
        <v>0.69556499999999999</v>
      </c>
      <c r="K141">
        <v>0.441214</v>
      </c>
      <c r="L141">
        <v>-9.9840377024093541E-2</v>
      </c>
      <c r="M141">
        <v>-15.602679999999999</v>
      </c>
      <c r="N141">
        <v>-29281883.801023841</v>
      </c>
      <c r="O141">
        <v>-11.399470000000001</v>
      </c>
      <c r="P141">
        <v>423415980.34750003</v>
      </c>
      <c r="Q141">
        <v>692753441.4971</v>
      </c>
      <c r="S141">
        <v>6.69</v>
      </c>
      <c r="T141">
        <v>-91.971519999999998</v>
      </c>
      <c r="U141" t="s">
        <v>968</v>
      </c>
      <c r="V141">
        <v>2.303229E-2</v>
      </c>
      <c r="W141">
        <v>2233.3761399999999</v>
      </c>
      <c r="X141" t="s">
        <v>266</v>
      </c>
      <c r="Y141" t="s">
        <v>55</v>
      </c>
      <c r="Z141" t="s">
        <v>1385</v>
      </c>
      <c r="AA141">
        <v>9.9464874010255659</v>
      </c>
      <c r="AB141">
        <v>-90.57251648626908</v>
      </c>
      <c r="AC141">
        <v>-39.941707576461447</v>
      </c>
    </row>
    <row r="142" spans="1:29" x14ac:dyDescent="0.3">
      <c r="A142" t="s">
        <v>893</v>
      </c>
      <c r="B142" t="s">
        <v>894</v>
      </c>
      <c r="C142" t="s">
        <v>895</v>
      </c>
      <c r="D142" t="s">
        <v>896</v>
      </c>
      <c r="E142">
        <v>0.31279699999999999</v>
      </c>
      <c r="F142">
        <v>224492095</v>
      </c>
      <c r="G142">
        <v>141</v>
      </c>
      <c r="H142">
        <v>342757850</v>
      </c>
      <c r="I142">
        <v>19648361</v>
      </c>
      <c r="J142">
        <v>0.31299500000000002</v>
      </c>
      <c r="K142">
        <v>0.26695200000000002</v>
      </c>
      <c r="L142">
        <v>3.2083859999999999E-2</v>
      </c>
      <c r="M142">
        <v>11.429410000000001</v>
      </c>
      <c r="N142">
        <v>21229998</v>
      </c>
      <c r="O142">
        <v>10.44464</v>
      </c>
      <c r="P142">
        <v>719623350</v>
      </c>
      <c r="Q142">
        <v>1098731573.00108</v>
      </c>
      <c r="R142">
        <v>1098731573.00108</v>
      </c>
      <c r="S142">
        <v>4.2</v>
      </c>
      <c r="T142">
        <v>-92.608609999999999</v>
      </c>
      <c r="U142" t="s">
        <v>897</v>
      </c>
      <c r="V142">
        <v>3.6964759999999999E-2</v>
      </c>
      <c r="W142">
        <v>740.02836000000002</v>
      </c>
      <c r="X142" t="s">
        <v>898</v>
      </c>
      <c r="Z142" t="s">
        <v>1386</v>
      </c>
      <c r="AA142">
        <v>2.8060515310977654</v>
      </c>
      <c r="AB142">
        <v>-66.1410090770447</v>
      </c>
      <c r="AC142">
        <v>-35.055015743926106</v>
      </c>
    </row>
    <row r="143" spans="1:29" x14ac:dyDescent="0.3">
      <c r="A143" t="s">
        <v>845</v>
      </c>
      <c r="B143" t="s">
        <v>846</v>
      </c>
      <c r="C143" t="s">
        <v>847</v>
      </c>
      <c r="D143" t="s">
        <v>848</v>
      </c>
      <c r="E143">
        <v>1.9790490000000001E-2</v>
      </c>
      <c r="F143">
        <v>223605931</v>
      </c>
      <c r="G143">
        <v>142</v>
      </c>
      <c r="I143">
        <v>13121753</v>
      </c>
      <c r="J143">
        <v>1.9799669999999998E-2</v>
      </c>
      <c r="K143">
        <v>1.6514750000000002E-2</v>
      </c>
      <c r="L143">
        <v>1.7963600000000001E-3</v>
      </c>
      <c r="M143">
        <v>9.9830000000000005</v>
      </c>
      <c r="N143">
        <v>19374714</v>
      </c>
      <c r="O143">
        <v>9.4866600000000005</v>
      </c>
      <c r="P143">
        <v>11340067066.6705</v>
      </c>
      <c r="Q143">
        <v>11340089566.6705</v>
      </c>
      <c r="S143">
        <v>0.23536199999999999</v>
      </c>
      <c r="T143">
        <v>-91.63194</v>
      </c>
      <c r="U143" t="s">
        <v>849</v>
      </c>
      <c r="V143">
        <v>7.9872699999999994E-3</v>
      </c>
      <c r="W143">
        <v>146.58304000000001</v>
      </c>
      <c r="X143" t="s">
        <v>850</v>
      </c>
      <c r="Z143" t="s">
        <v>1387</v>
      </c>
      <c r="AA143">
        <v>3.2736930494366199</v>
      </c>
      <c r="AB143">
        <v>-68.816247895598778</v>
      </c>
      <c r="AC143">
        <v>-36.144478564444832</v>
      </c>
    </row>
    <row r="144" spans="1:29" x14ac:dyDescent="0.3">
      <c r="A144" t="s">
        <v>911</v>
      </c>
      <c r="B144" t="s">
        <v>912</v>
      </c>
      <c r="C144" t="s">
        <v>913</v>
      </c>
      <c r="D144" t="s">
        <v>914</v>
      </c>
      <c r="E144">
        <v>8.85</v>
      </c>
      <c r="F144">
        <v>219325521</v>
      </c>
      <c r="G144">
        <v>143</v>
      </c>
      <c r="H144">
        <v>881956816</v>
      </c>
      <c r="I144">
        <v>110480740</v>
      </c>
      <c r="J144">
        <v>8.85</v>
      </c>
      <c r="K144">
        <v>7.19</v>
      </c>
      <c r="L144">
        <v>1.28</v>
      </c>
      <c r="M144">
        <v>16.876159999999999</v>
      </c>
      <c r="N144">
        <v>30487592</v>
      </c>
      <c r="O144">
        <v>16.144850000000002</v>
      </c>
      <c r="P144">
        <v>24868056.687452052</v>
      </c>
      <c r="Q144">
        <v>100000000</v>
      </c>
      <c r="R144">
        <v>100000000</v>
      </c>
      <c r="S144">
        <v>72.650000000000006</v>
      </c>
      <c r="T144">
        <v>-87.905150000000006</v>
      </c>
      <c r="U144" t="s">
        <v>915</v>
      </c>
      <c r="V144">
        <v>7.16</v>
      </c>
      <c r="W144">
        <v>22.712959999999999</v>
      </c>
      <c r="X144" t="s">
        <v>916</v>
      </c>
      <c r="Z144" t="s">
        <v>1388</v>
      </c>
      <c r="AA144">
        <v>2.433074371320707</v>
      </c>
      <c r="AC144">
        <v>-10.384646414662271</v>
      </c>
    </row>
    <row r="145" spans="1:29" x14ac:dyDescent="0.3">
      <c r="A145" t="s">
        <v>952</v>
      </c>
      <c r="B145" t="s">
        <v>953</v>
      </c>
      <c r="C145" t="s">
        <v>954</v>
      </c>
      <c r="D145" t="s">
        <v>955</v>
      </c>
      <c r="E145">
        <v>2.93</v>
      </c>
      <c r="F145">
        <v>202333661</v>
      </c>
      <c r="G145">
        <v>144</v>
      </c>
      <c r="I145">
        <v>1309983</v>
      </c>
      <c r="J145">
        <v>3.09</v>
      </c>
      <c r="K145">
        <v>2.76</v>
      </c>
      <c r="L145">
        <v>1.8633250000000001E-2</v>
      </c>
      <c r="M145">
        <v>0.63898999999999995</v>
      </c>
      <c r="N145">
        <v>9677330</v>
      </c>
      <c r="O145">
        <v>5.0231000000000003</v>
      </c>
      <c r="P145">
        <v>0</v>
      </c>
      <c r="Q145">
        <v>250000000</v>
      </c>
      <c r="S145">
        <v>3.32</v>
      </c>
      <c r="T145">
        <v>-11.65903</v>
      </c>
      <c r="U145" t="s">
        <v>956</v>
      </c>
      <c r="V145">
        <v>5.2879000000000001E-4</v>
      </c>
      <c r="W145">
        <v>554587.69428000005</v>
      </c>
      <c r="X145" t="s">
        <v>957</v>
      </c>
      <c r="Z145" t="s">
        <v>1389</v>
      </c>
      <c r="AA145">
        <v>-0.46857621540833505</v>
      </c>
      <c r="AB145">
        <v>91.869524500059825</v>
      </c>
      <c r="AC145">
        <v>-10.774308673195144</v>
      </c>
    </row>
    <row r="146" spans="1:29" x14ac:dyDescent="0.3">
      <c r="A146" t="s">
        <v>807</v>
      </c>
      <c r="B146" t="s">
        <v>808</v>
      </c>
      <c r="C146" t="s">
        <v>809</v>
      </c>
      <c r="D146" t="s">
        <v>810</v>
      </c>
      <c r="E146">
        <v>2.7039230000000001E-2</v>
      </c>
      <c r="F146">
        <v>218796628</v>
      </c>
      <c r="G146">
        <v>145</v>
      </c>
      <c r="I146">
        <v>936312</v>
      </c>
      <c r="J146">
        <v>2.70291E-2</v>
      </c>
      <c r="K146">
        <v>2.442136E-2</v>
      </c>
      <c r="L146">
        <v>1.5423399999999999E-3</v>
      </c>
      <c r="M146">
        <v>6.04915</v>
      </c>
      <c r="N146">
        <v>11910449</v>
      </c>
      <c r="O146">
        <v>5.7570100000000002</v>
      </c>
      <c r="P146">
        <v>8116081561.7465</v>
      </c>
      <c r="Q146">
        <v>16093150684.931499</v>
      </c>
      <c r="S146">
        <v>0.614977</v>
      </c>
      <c r="T146">
        <v>-95.615489999999994</v>
      </c>
      <c r="U146" t="s">
        <v>811</v>
      </c>
      <c r="V146">
        <v>1.584665E-2</v>
      </c>
      <c r="W146">
        <v>70.154330000000002</v>
      </c>
      <c r="X146" t="s">
        <v>812</v>
      </c>
      <c r="Z146" t="s">
        <v>1390</v>
      </c>
      <c r="AA146">
        <v>2.3420911714682986</v>
      </c>
      <c r="AC146">
        <v>26.395880540305576</v>
      </c>
    </row>
    <row r="147" spans="1:29" x14ac:dyDescent="0.3">
      <c r="A147" t="s">
        <v>781</v>
      </c>
      <c r="B147" t="s">
        <v>782</v>
      </c>
      <c r="C147" t="s">
        <v>781</v>
      </c>
      <c r="D147" t="s">
        <v>783</v>
      </c>
      <c r="E147">
        <v>0.25696400000000003</v>
      </c>
      <c r="F147">
        <v>217588891</v>
      </c>
      <c r="G147">
        <v>146</v>
      </c>
      <c r="H147">
        <v>256743250</v>
      </c>
      <c r="I147">
        <v>44295057</v>
      </c>
      <c r="J147">
        <v>0.25810300000000003</v>
      </c>
      <c r="K147">
        <v>0.21686</v>
      </c>
      <c r="L147">
        <v>2.3928990000000001E-2</v>
      </c>
      <c r="M147">
        <v>10.268420000000001</v>
      </c>
      <c r="N147">
        <v>19417560</v>
      </c>
      <c r="O147">
        <v>9.7983700000000002</v>
      </c>
      <c r="P147">
        <v>847496054.81226349</v>
      </c>
      <c r="Q147">
        <v>1000000000</v>
      </c>
      <c r="R147">
        <v>1000000000</v>
      </c>
      <c r="S147">
        <v>2.12</v>
      </c>
      <c r="T147">
        <v>-87.85821</v>
      </c>
      <c r="U147" t="s">
        <v>784</v>
      </c>
      <c r="V147">
        <v>0.1079</v>
      </c>
      <c r="W147">
        <v>138.34733</v>
      </c>
      <c r="X147" t="s">
        <v>785</v>
      </c>
      <c r="Y147" t="s">
        <v>55</v>
      </c>
      <c r="Z147" t="s">
        <v>1391</v>
      </c>
      <c r="AA147">
        <v>2.9001901176314631</v>
      </c>
      <c r="AB147">
        <v>-65.822196203670003</v>
      </c>
      <c r="AC147">
        <v>-40.095196954922237</v>
      </c>
    </row>
    <row r="148" spans="1:29" x14ac:dyDescent="0.3">
      <c r="A148" t="s">
        <v>813</v>
      </c>
      <c r="B148" t="s">
        <v>813</v>
      </c>
      <c r="C148" t="s">
        <v>814</v>
      </c>
      <c r="D148" t="s">
        <v>815</v>
      </c>
      <c r="E148">
        <v>2.6578460000000002E-2</v>
      </c>
      <c r="F148">
        <v>215892858</v>
      </c>
      <c r="G148">
        <v>147</v>
      </c>
      <c r="H148">
        <v>264480607</v>
      </c>
      <c r="I148">
        <v>21826559</v>
      </c>
      <c r="J148">
        <v>2.6577190000000001E-2</v>
      </c>
      <c r="K148">
        <v>2.2716699999999999E-2</v>
      </c>
      <c r="L148">
        <v>2.1918100000000002E-3</v>
      </c>
      <c r="M148">
        <v>8.9877400000000005</v>
      </c>
      <c r="N148">
        <v>16322586</v>
      </c>
      <c r="O148">
        <v>8.1788699999999999</v>
      </c>
      <c r="P148">
        <v>8162899377.791667</v>
      </c>
      <c r="Q148">
        <v>10000000000</v>
      </c>
      <c r="R148">
        <v>10000000000</v>
      </c>
      <c r="S148">
        <v>0.186475</v>
      </c>
      <c r="T148">
        <v>-85.81626</v>
      </c>
      <c r="U148" t="s">
        <v>816</v>
      </c>
      <c r="V148">
        <v>6.3272999999999997E-4</v>
      </c>
      <c r="W148">
        <v>4080.15292</v>
      </c>
      <c r="X148" t="s">
        <v>817</v>
      </c>
      <c r="Y148" t="s">
        <v>55</v>
      </c>
      <c r="Z148" t="s">
        <v>1392</v>
      </c>
      <c r="AA148">
        <v>1.966684042839157</v>
      </c>
      <c r="AB148">
        <v>-63.199772353740066</v>
      </c>
      <c r="AC148">
        <v>-31.549258016859543</v>
      </c>
    </row>
    <row r="149" spans="1:29" x14ac:dyDescent="0.3">
      <c r="A149" t="s">
        <v>1022</v>
      </c>
      <c r="B149" t="s">
        <v>1023</v>
      </c>
      <c r="C149" t="s">
        <v>1024</v>
      </c>
      <c r="D149" t="s">
        <v>1025</v>
      </c>
      <c r="E149">
        <v>0.62471900000000002</v>
      </c>
      <c r="F149">
        <v>215603400</v>
      </c>
      <c r="G149">
        <v>148</v>
      </c>
      <c r="I149">
        <v>9943937</v>
      </c>
      <c r="J149">
        <v>0.62739900000000004</v>
      </c>
      <c r="K149">
        <v>0.53895000000000004</v>
      </c>
      <c r="L149">
        <v>6.0609000000000003E-2</v>
      </c>
      <c r="M149">
        <v>10.74427</v>
      </c>
      <c r="N149">
        <v>19509653</v>
      </c>
      <c r="O149">
        <v>9.9491499999999995</v>
      </c>
      <c r="P149">
        <v>346951186</v>
      </c>
      <c r="Q149">
        <v>1000000000</v>
      </c>
      <c r="S149">
        <v>1.38</v>
      </c>
      <c r="T149">
        <v>-54.740160000000003</v>
      </c>
      <c r="U149" t="s">
        <v>1026</v>
      </c>
      <c r="V149">
        <v>2.46605E-3</v>
      </c>
      <c r="W149">
        <v>25230.904790000001</v>
      </c>
      <c r="X149" t="s">
        <v>1027</v>
      </c>
      <c r="Z149" t="s">
        <v>1393</v>
      </c>
      <c r="AA149">
        <v>2.4445582419978065</v>
      </c>
      <c r="AB149">
        <v>94.358398922654104</v>
      </c>
      <c r="AC149">
        <v>-9.2516991847039023</v>
      </c>
    </row>
    <row r="150" spans="1:29" x14ac:dyDescent="0.3">
      <c r="A150" t="s">
        <v>981</v>
      </c>
      <c r="B150" t="s">
        <v>982</v>
      </c>
      <c r="C150" t="s">
        <v>983</v>
      </c>
      <c r="D150" t="s">
        <v>984</v>
      </c>
      <c r="E150">
        <v>1.0029999999999999</v>
      </c>
      <c r="F150">
        <v>207077541</v>
      </c>
      <c r="G150">
        <v>149</v>
      </c>
      <c r="H150">
        <v>402094646</v>
      </c>
      <c r="I150">
        <v>6365825</v>
      </c>
      <c r="J150">
        <v>1.0329999999999999</v>
      </c>
      <c r="K150">
        <v>0.99061999999999995</v>
      </c>
      <c r="L150">
        <v>5.0330499999999999E-3</v>
      </c>
      <c r="M150">
        <v>0.50429999999999997</v>
      </c>
      <c r="N150">
        <v>1084253</v>
      </c>
      <c r="O150">
        <v>0.52634999999999998</v>
      </c>
      <c r="P150">
        <v>205998829.97999999</v>
      </c>
      <c r="Q150">
        <v>400000050</v>
      </c>
      <c r="R150">
        <v>400000050</v>
      </c>
      <c r="S150">
        <v>1.1000000000000001</v>
      </c>
      <c r="T150">
        <v>-9.3915699999999998</v>
      </c>
      <c r="U150" t="s">
        <v>985</v>
      </c>
      <c r="V150">
        <v>0.92575499999999999</v>
      </c>
      <c r="W150">
        <v>8.0201499999999992</v>
      </c>
      <c r="X150" t="s">
        <v>986</v>
      </c>
      <c r="Z150" t="s">
        <v>1394</v>
      </c>
      <c r="AA150">
        <v>0.26424235919545846</v>
      </c>
      <c r="AC150">
        <v>-0.16564561190661806</v>
      </c>
    </row>
    <row r="151" spans="1:29" x14ac:dyDescent="0.3">
      <c r="A151" t="s">
        <v>905</v>
      </c>
      <c r="B151" t="s">
        <v>906</v>
      </c>
      <c r="C151" t="s">
        <v>907</v>
      </c>
      <c r="D151" t="s">
        <v>908</v>
      </c>
      <c r="E151">
        <v>0.20680299999999999</v>
      </c>
      <c r="F151">
        <v>207047952</v>
      </c>
      <c r="G151">
        <v>150</v>
      </c>
      <c r="I151">
        <v>6898919</v>
      </c>
      <c r="J151">
        <v>0.20726</v>
      </c>
      <c r="K151">
        <v>0.170459</v>
      </c>
      <c r="L151">
        <v>1.9116089999999999E-2</v>
      </c>
      <c r="M151">
        <v>10.18512</v>
      </c>
      <c r="N151">
        <v>17998300</v>
      </c>
      <c r="O151">
        <v>9.52041</v>
      </c>
      <c r="P151">
        <v>1000000000</v>
      </c>
      <c r="Q151">
        <v>1000000000</v>
      </c>
      <c r="S151">
        <v>1.0740000000000001</v>
      </c>
      <c r="T151">
        <v>-80.882239999999996</v>
      </c>
      <c r="U151" t="s">
        <v>909</v>
      </c>
      <c r="V151">
        <v>8.5499700000000005E-3</v>
      </c>
      <c r="W151">
        <v>2300.4408199999998</v>
      </c>
      <c r="X151" t="s">
        <v>910</v>
      </c>
      <c r="Y151" t="s">
        <v>55</v>
      </c>
      <c r="Z151" t="s">
        <v>1395</v>
      </c>
      <c r="AA151">
        <v>1.6072688225195242</v>
      </c>
      <c r="AB151">
        <v>-14.789331290363966</v>
      </c>
      <c r="AC151">
        <v>-21.801130788824747</v>
      </c>
    </row>
    <row r="152" spans="1:29" x14ac:dyDescent="0.3">
      <c r="A152" t="s">
        <v>856</v>
      </c>
      <c r="B152" t="s">
        <v>857</v>
      </c>
      <c r="C152" t="s">
        <v>858</v>
      </c>
      <c r="D152" t="s">
        <v>859</v>
      </c>
      <c r="E152">
        <v>0.26539699999999999</v>
      </c>
      <c r="F152">
        <v>206238411</v>
      </c>
      <c r="G152">
        <v>151</v>
      </c>
      <c r="I152">
        <v>12375117</v>
      </c>
      <c r="J152">
        <v>0.26594000000000001</v>
      </c>
      <c r="K152">
        <v>0.224907</v>
      </c>
      <c r="L152">
        <v>2.2592170000000002E-2</v>
      </c>
      <c r="M152">
        <v>9.3046500000000005</v>
      </c>
      <c r="N152">
        <v>17338723</v>
      </c>
      <c r="O152">
        <v>9.1788000000000007</v>
      </c>
      <c r="P152">
        <v>778528435.35901594</v>
      </c>
      <c r="Q152">
        <v>933497519.81040394</v>
      </c>
      <c r="S152">
        <v>11.03</v>
      </c>
      <c r="T152">
        <v>-97.600849999999994</v>
      </c>
      <c r="U152" t="s">
        <v>188</v>
      </c>
      <c r="V152">
        <v>9.6166000000000001E-2</v>
      </c>
      <c r="W152">
        <v>175.26045999999999</v>
      </c>
      <c r="X152" t="s">
        <v>860</v>
      </c>
      <c r="Y152" t="s">
        <v>55</v>
      </c>
      <c r="Z152" t="s">
        <v>1396</v>
      </c>
      <c r="AA152">
        <v>2.4739929158692719</v>
      </c>
      <c r="AB152">
        <v>-67.532229394880659</v>
      </c>
      <c r="AC152">
        <v>-33.929140576055843</v>
      </c>
    </row>
    <row r="153" spans="1:29" x14ac:dyDescent="0.3">
      <c r="A153" t="s">
        <v>795</v>
      </c>
      <c r="B153" t="s">
        <v>796</v>
      </c>
      <c r="C153" t="s">
        <v>797</v>
      </c>
      <c r="D153" t="s">
        <v>798</v>
      </c>
      <c r="E153">
        <v>7.98</v>
      </c>
      <c r="F153">
        <v>204250030</v>
      </c>
      <c r="G153">
        <v>152</v>
      </c>
      <c r="H153">
        <v>204250030</v>
      </c>
      <c r="I153">
        <v>27959606</v>
      </c>
      <c r="J153">
        <v>7.95</v>
      </c>
      <c r="K153">
        <v>6.77</v>
      </c>
      <c r="L153">
        <v>0.48654500000000001</v>
      </c>
      <c r="M153">
        <v>6.4941800000000001</v>
      </c>
      <c r="N153">
        <v>10906690</v>
      </c>
      <c r="O153">
        <v>5.6410999999999998</v>
      </c>
      <c r="P153">
        <v>25697248.881636001</v>
      </c>
      <c r="Q153">
        <v>25697248.881636001</v>
      </c>
      <c r="R153">
        <v>25697248.881636001</v>
      </c>
      <c r="S153">
        <v>85.48</v>
      </c>
      <c r="T153">
        <v>-90.72627</v>
      </c>
      <c r="U153" t="s">
        <v>799</v>
      </c>
      <c r="V153">
        <v>0.31952599999999998</v>
      </c>
      <c r="W153">
        <v>2380.8739</v>
      </c>
      <c r="X153" t="s">
        <v>800</v>
      </c>
      <c r="Z153" t="s">
        <v>1397</v>
      </c>
      <c r="AA153">
        <v>2.8915083738569423</v>
      </c>
      <c r="AB153">
        <v>-64.698515742255879</v>
      </c>
      <c r="AC153">
        <v>-47.542743286047653</v>
      </c>
    </row>
    <row r="154" spans="1:29" x14ac:dyDescent="0.3">
      <c r="A154" t="s">
        <v>1012</v>
      </c>
      <c r="B154" t="s">
        <v>1013</v>
      </c>
      <c r="C154" t="s">
        <v>1014</v>
      </c>
      <c r="D154" t="s">
        <v>1015</v>
      </c>
      <c r="E154">
        <v>5.6881000000000001E-2</v>
      </c>
      <c r="F154">
        <v>200848038</v>
      </c>
      <c r="G154">
        <v>153</v>
      </c>
      <c r="H154">
        <v>398186048</v>
      </c>
      <c r="I154">
        <v>36396428</v>
      </c>
      <c r="J154">
        <v>5.8431999999999998E-2</v>
      </c>
      <c r="K154">
        <v>5.0366000000000001E-2</v>
      </c>
      <c r="L154">
        <v>1.52805E-3</v>
      </c>
      <c r="M154">
        <v>2.76057</v>
      </c>
      <c r="N154">
        <v>4452850</v>
      </c>
      <c r="O154">
        <v>2.26729</v>
      </c>
      <c r="P154">
        <v>3530852671</v>
      </c>
      <c r="Q154">
        <v>4736470382.66891</v>
      </c>
      <c r="R154">
        <v>7000000000</v>
      </c>
      <c r="S154">
        <v>1.016</v>
      </c>
      <c r="T154">
        <v>-94.437929999999994</v>
      </c>
      <c r="U154" t="s">
        <v>1016</v>
      </c>
      <c r="V154">
        <v>4.2682619999999998E-2</v>
      </c>
      <c r="W154">
        <v>32.453580000000002</v>
      </c>
      <c r="X154" t="s">
        <v>1189</v>
      </c>
      <c r="Z154" t="s">
        <v>1398</v>
      </c>
      <c r="AA154">
        <v>2.9860328859672323</v>
      </c>
      <c r="AB154">
        <v>-78.089987963092554</v>
      </c>
      <c r="AC154">
        <v>-35.26974676149532</v>
      </c>
    </row>
    <row r="155" spans="1:29" x14ac:dyDescent="0.3">
      <c r="A155" t="s">
        <v>818</v>
      </c>
      <c r="B155" t="s">
        <v>818</v>
      </c>
      <c r="C155" t="s">
        <v>819</v>
      </c>
      <c r="D155" t="s">
        <v>820</v>
      </c>
      <c r="E155">
        <v>1.04</v>
      </c>
      <c r="F155">
        <v>199855042</v>
      </c>
      <c r="G155">
        <v>154</v>
      </c>
      <c r="H155">
        <v>259162578</v>
      </c>
      <c r="I155">
        <v>99860877</v>
      </c>
      <c r="J155">
        <v>1.0409999999999999</v>
      </c>
      <c r="K155">
        <v>0.843171</v>
      </c>
      <c r="L155">
        <v>0.118399</v>
      </c>
      <c r="M155">
        <v>12.844580000000001</v>
      </c>
      <c r="N155">
        <v>21446679</v>
      </c>
      <c r="O155">
        <v>12.02112</v>
      </c>
      <c r="P155">
        <v>192789255.85548171</v>
      </c>
      <c r="Q155">
        <v>242685996.04626</v>
      </c>
      <c r="R155">
        <v>250000000</v>
      </c>
      <c r="S155">
        <v>19.559999999999999</v>
      </c>
      <c r="T155">
        <v>-94.687899999999999</v>
      </c>
      <c r="U155" t="s">
        <v>821</v>
      </c>
      <c r="V155">
        <v>0.406057</v>
      </c>
      <c r="W155">
        <v>155.84152</v>
      </c>
      <c r="X155" t="s">
        <v>822</v>
      </c>
      <c r="Z155" t="s">
        <v>1399</v>
      </c>
      <c r="AA155">
        <v>3.312765161441789</v>
      </c>
      <c r="AB155">
        <v>-86.377495921667474</v>
      </c>
      <c r="AC155">
        <v>-22.251726646061577</v>
      </c>
    </row>
    <row r="156" spans="1:29" x14ac:dyDescent="0.3">
      <c r="A156" t="s">
        <v>975</v>
      </c>
      <c r="B156" t="s">
        <v>976</v>
      </c>
      <c r="C156" t="s">
        <v>977</v>
      </c>
      <c r="D156" t="s">
        <v>978</v>
      </c>
      <c r="E156">
        <v>2.2400000000000002</v>
      </c>
      <c r="F156">
        <v>199644227</v>
      </c>
      <c r="G156">
        <v>155</v>
      </c>
      <c r="H156">
        <v>247167867</v>
      </c>
      <c r="I156">
        <v>1546130</v>
      </c>
      <c r="J156">
        <v>2.27</v>
      </c>
      <c r="K156">
        <v>2.06</v>
      </c>
      <c r="L156">
        <v>4.3035820000000002E-2</v>
      </c>
      <c r="M156">
        <v>1.9579</v>
      </c>
      <c r="N156">
        <v>4183440</v>
      </c>
      <c r="O156">
        <v>2.1402999999999999</v>
      </c>
      <c r="P156">
        <v>88850000.019999996</v>
      </c>
      <c r="Q156">
        <v>110000000</v>
      </c>
      <c r="R156">
        <v>110000000</v>
      </c>
      <c r="S156">
        <v>15.22</v>
      </c>
      <c r="T156">
        <v>-85.270060000000001</v>
      </c>
      <c r="U156" t="s">
        <v>979</v>
      </c>
      <c r="V156">
        <v>0.324403</v>
      </c>
      <c r="W156">
        <v>591.13459999999998</v>
      </c>
      <c r="X156" t="s">
        <v>980</v>
      </c>
      <c r="Z156" t="s">
        <v>1400</v>
      </c>
      <c r="AA156">
        <v>-0.21040328267324951</v>
      </c>
      <c r="AB156">
        <v>319.96188634843367</v>
      </c>
      <c r="AC156">
        <v>-35.309936742202197</v>
      </c>
    </row>
    <row r="157" spans="1:29" x14ac:dyDescent="0.3">
      <c r="A157" t="s">
        <v>801</v>
      </c>
      <c r="B157" t="s">
        <v>802</v>
      </c>
      <c r="C157" t="s">
        <v>803</v>
      </c>
      <c r="D157" t="s">
        <v>804</v>
      </c>
      <c r="E157">
        <v>2.7350019999999999E-2</v>
      </c>
      <c r="F157">
        <v>199101465</v>
      </c>
      <c r="G157">
        <v>156</v>
      </c>
      <c r="H157">
        <v>269998597</v>
      </c>
      <c r="I157">
        <v>63488135</v>
      </c>
      <c r="J157">
        <v>2.7272589999999999E-2</v>
      </c>
      <c r="K157">
        <v>2.3543540000000002E-2</v>
      </c>
      <c r="L157">
        <v>1.3771300000000001E-3</v>
      </c>
      <c r="M157">
        <v>5.3021700000000003</v>
      </c>
      <c r="N157">
        <v>9168800</v>
      </c>
      <c r="O157">
        <v>4.8273900000000003</v>
      </c>
      <c r="P157">
        <v>7300425000</v>
      </c>
      <c r="Q157">
        <v>9900000000</v>
      </c>
      <c r="R157">
        <v>9900000000</v>
      </c>
      <c r="S157">
        <v>0.16428599999999999</v>
      </c>
      <c r="T157">
        <v>-83.436880000000002</v>
      </c>
      <c r="U157" t="s">
        <v>805</v>
      </c>
      <c r="V157">
        <v>4.3414200000000003E-3</v>
      </c>
      <c r="W157">
        <v>526.77368999999999</v>
      </c>
      <c r="X157" t="s">
        <v>806</v>
      </c>
      <c r="Z157" t="s">
        <v>1401</v>
      </c>
      <c r="AA157">
        <v>3.1849952120207461</v>
      </c>
      <c r="AB157">
        <v>-46.802397057204139</v>
      </c>
      <c r="AC157">
        <v>-35.0767004694059</v>
      </c>
    </row>
    <row r="158" spans="1:29" x14ac:dyDescent="0.3">
      <c r="A158" t="s">
        <v>1055</v>
      </c>
      <c r="B158" t="s">
        <v>1056</v>
      </c>
      <c r="C158" t="s">
        <v>1057</v>
      </c>
      <c r="D158" t="s">
        <v>1058</v>
      </c>
      <c r="E158">
        <v>0.16186</v>
      </c>
      <c r="F158">
        <v>198513863</v>
      </c>
      <c r="G158">
        <v>157</v>
      </c>
      <c r="H158">
        <v>628735478</v>
      </c>
      <c r="I158">
        <v>13348804</v>
      </c>
      <c r="J158">
        <v>0.16281300000000001</v>
      </c>
      <c r="K158">
        <v>0.139042</v>
      </c>
      <c r="L158">
        <v>1.4200620000000001E-2</v>
      </c>
      <c r="M158">
        <v>9.6171699999999998</v>
      </c>
      <c r="N158">
        <v>16922492</v>
      </c>
      <c r="O158">
        <v>9.3190000000000008</v>
      </c>
      <c r="P158">
        <v>1226754049.5294862</v>
      </c>
      <c r="Q158">
        <v>3885390081.74825</v>
      </c>
      <c r="R158">
        <v>3885390081.74825</v>
      </c>
      <c r="S158">
        <v>2.25</v>
      </c>
      <c r="T158">
        <v>-92.802999999999997</v>
      </c>
      <c r="U158" t="s">
        <v>1059</v>
      </c>
      <c r="V158">
        <v>5.2215999999999999E-2</v>
      </c>
      <c r="W158">
        <v>209.87477999999999</v>
      </c>
      <c r="X158" t="s">
        <v>1060</v>
      </c>
      <c r="Z158" t="s">
        <v>1402</v>
      </c>
      <c r="AA158">
        <v>1.0687961951466762</v>
      </c>
      <c r="AB158">
        <v>-36.967902176350321</v>
      </c>
      <c r="AC158">
        <v>-3.8711018238826824</v>
      </c>
    </row>
    <row r="159" spans="1:29" x14ac:dyDescent="0.3">
      <c r="A159" t="s">
        <v>877</v>
      </c>
      <c r="B159" t="s">
        <v>877</v>
      </c>
      <c r="C159" t="s">
        <v>878</v>
      </c>
      <c r="D159" t="s">
        <v>879</v>
      </c>
      <c r="E159">
        <v>34.35</v>
      </c>
      <c r="F159">
        <v>195921049</v>
      </c>
      <c r="G159">
        <v>158</v>
      </c>
      <c r="H159">
        <v>195921049</v>
      </c>
      <c r="I159">
        <v>34550499</v>
      </c>
      <c r="J159">
        <v>34.35</v>
      </c>
      <c r="K159">
        <v>26.99</v>
      </c>
      <c r="L159">
        <v>5.84</v>
      </c>
      <c r="M159">
        <v>20.466560000000001</v>
      </c>
      <c r="N159">
        <v>32304791</v>
      </c>
      <c r="O159">
        <v>19.744240000000001</v>
      </c>
      <c r="P159">
        <v>5720523</v>
      </c>
      <c r="Q159">
        <v>5720523</v>
      </c>
      <c r="R159">
        <v>5720523</v>
      </c>
      <c r="S159">
        <v>3014.77</v>
      </c>
      <c r="T159">
        <v>-98.861199999999997</v>
      </c>
      <c r="U159" t="s">
        <v>880</v>
      </c>
      <c r="V159">
        <v>26.43</v>
      </c>
      <c r="W159">
        <v>29.901910000000001</v>
      </c>
      <c r="X159" t="s">
        <v>1191</v>
      </c>
      <c r="Z159" t="s">
        <v>1403</v>
      </c>
      <c r="AA159">
        <v>6.3222099913505776</v>
      </c>
      <c r="AC159">
        <v>-41.931734873762771</v>
      </c>
    </row>
    <row r="160" spans="1:29" x14ac:dyDescent="0.3">
      <c r="A160" t="s">
        <v>946</v>
      </c>
      <c r="B160" t="s">
        <v>947</v>
      </c>
      <c r="C160" t="s">
        <v>948</v>
      </c>
      <c r="D160" t="s">
        <v>949</v>
      </c>
      <c r="E160">
        <v>0.22095500000000001</v>
      </c>
      <c r="F160">
        <v>192625688</v>
      </c>
      <c r="G160">
        <v>159</v>
      </c>
      <c r="I160">
        <v>24145727</v>
      </c>
      <c r="J160">
        <v>0.220355</v>
      </c>
      <c r="K160">
        <v>0.190383</v>
      </c>
      <c r="L160">
        <v>1.5226780000000001E-2</v>
      </c>
      <c r="M160">
        <v>7.4013900000000001</v>
      </c>
      <c r="N160">
        <v>11760885</v>
      </c>
      <c r="O160">
        <v>6.50258</v>
      </c>
      <c r="P160">
        <v>875249524</v>
      </c>
      <c r="Q160">
        <v>1000000000</v>
      </c>
      <c r="S160">
        <v>9.1199999999999992</v>
      </c>
      <c r="T160">
        <v>-97.590059999999994</v>
      </c>
      <c r="U160" t="s">
        <v>950</v>
      </c>
      <c r="V160">
        <v>0.19003999999999999</v>
      </c>
      <c r="W160">
        <v>15.62792</v>
      </c>
      <c r="X160" t="s">
        <v>951</v>
      </c>
      <c r="Z160" t="s">
        <v>1404</v>
      </c>
      <c r="AA160">
        <v>2.6421299677350834</v>
      </c>
      <c r="AB160">
        <v>-72.375116769562595</v>
      </c>
      <c r="AC160">
        <v>-20.272158634035279</v>
      </c>
    </row>
    <row r="161" spans="1:29" x14ac:dyDescent="0.3">
      <c r="A161" t="s">
        <v>766</v>
      </c>
      <c r="B161" t="s">
        <v>767</v>
      </c>
      <c r="C161" t="s">
        <v>768</v>
      </c>
      <c r="D161" t="s">
        <v>769</v>
      </c>
      <c r="E161">
        <v>0.96996000000000004</v>
      </c>
      <c r="F161">
        <v>192373024</v>
      </c>
      <c r="G161">
        <v>160</v>
      </c>
      <c r="I161">
        <v>21064060</v>
      </c>
      <c r="J161">
        <v>0.99767899999999998</v>
      </c>
      <c r="K161">
        <v>0.95761700000000005</v>
      </c>
      <c r="L161">
        <v>-1.1059524721751203E-2</v>
      </c>
      <c r="M161">
        <v>-1.1273500000000001</v>
      </c>
      <c r="N161">
        <v>-8129611.2339365184</v>
      </c>
      <c r="O161">
        <v>-4.0546199999999999</v>
      </c>
      <c r="P161">
        <v>198720309.40201399</v>
      </c>
      <c r="Q161">
        <v>198721319.15576199</v>
      </c>
      <c r="S161">
        <v>0.99767899999999998</v>
      </c>
      <c r="T161">
        <v>-2.2500300000000002</v>
      </c>
      <c r="U161" t="s">
        <v>1217</v>
      </c>
      <c r="V161">
        <v>0.75999000000000005</v>
      </c>
      <c r="W161">
        <v>28.32161</v>
      </c>
      <c r="X161" t="s">
        <v>770</v>
      </c>
      <c r="Z161" t="s">
        <v>1405</v>
      </c>
      <c r="AA161">
        <v>-3.1868039188008207E-2</v>
      </c>
      <c r="AB161">
        <v>16.04581488690815</v>
      </c>
      <c r="AC161">
        <v>0.6925350907862734</v>
      </c>
    </row>
    <row r="162" spans="1:29" x14ac:dyDescent="0.3">
      <c r="A162" t="s">
        <v>940</v>
      </c>
      <c r="B162" t="s">
        <v>941</v>
      </c>
      <c r="C162" t="s">
        <v>942</v>
      </c>
      <c r="D162" t="s">
        <v>943</v>
      </c>
      <c r="E162">
        <v>1.2010000000000001E-9</v>
      </c>
      <c r="F162">
        <v>190663442</v>
      </c>
      <c r="G162">
        <v>161</v>
      </c>
      <c r="H162">
        <v>502758996</v>
      </c>
      <c r="I162">
        <v>7638978</v>
      </c>
      <c r="J162">
        <v>1.204E-9</v>
      </c>
      <c r="K162">
        <v>1.0399999999999999E-9</v>
      </c>
      <c r="L162">
        <v>9.1537000000000001E-11</v>
      </c>
      <c r="M162">
        <v>8.2472300000000001</v>
      </c>
      <c r="N162">
        <v>13833335</v>
      </c>
      <c r="O162">
        <v>7.8229499999999996</v>
      </c>
      <c r="P162">
        <v>1.5927839465879376E+17</v>
      </c>
      <c r="Q162">
        <v>4.2E+17</v>
      </c>
      <c r="R162">
        <v>4.2E+17</v>
      </c>
      <c r="S162">
        <v>5.558E-9</v>
      </c>
      <c r="T162">
        <v>-78.434309999999996</v>
      </c>
      <c r="U162" t="s">
        <v>944</v>
      </c>
      <c r="V162">
        <v>7.7798999999999997E-11</v>
      </c>
      <c r="W162">
        <v>1440.62726</v>
      </c>
      <c r="X162" t="s">
        <v>945</v>
      </c>
      <c r="Z162" t="s">
        <v>1406</v>
      </c>
      <c r="AA162">
        <v>2.2831041683976849</v>
      </c>
      <c r="AB162">
        <v>596.55969035931844</v>
      </c>
      <c r="AC162">
        <v>26.767211609935259</v>
      </c>
    </row>
    <row r="163" spans="1:29" x14ac:dyDescent="0.3">
      <c r="A163" t="s">
        <v>1167</v>
      </c>
      <c r="B163" t="s">
        <v>1168</v>
      </c>
      <c r="C163" t="s">
        <v>1169</v>
      </c>
      <c r="D163" t="s">
        <v>1170</v>
      </c>
      <c r="E163">
        <v>0.97560100000000005</v>
      </c>
      <c r="F163">
        <v>190436554</v>
      </c>
      <c r="G163">
        <v>162</v>
      </c>
      <c r="I163">
        <v>1258408</v>
      </c>
      <c r="J163">
        <v>1.0309999999999999</v>
      </c>
      <c r="K163">
        <v>0.93372699999999997</v>
      </c>
      <c r="L163">
        <v>1.5471759999999999E-2</v>
      </c>
      <c r="M163">
        <v>1.6114200000000001</v>
      </c>
      <c r="N163">
        <v>2210507</v>
      </c>
      <c r="O163">
        <v>1.17439</v>
      </c>
      <c r="P163">
        <v>196123622.247352</v>
      </c>
      <c r="Q163">
        <v>196123622.247352</v>
      </c>
      <c r="S163">
        <v>1.0469999999999999</v>
      </c>
      <c r="T163">
        <v>-7.7972799999999998</v>
      </c>
      <c r="U163" t="s">
        <v>1171</v>
      </c>
      <c r="V163">
        <v>0.76397800000000005</v>
      </c>
      <c r="W163">
        <v>26.411760000000001</v>
      </c>
      <c r="X163" t="s">
        <v>1172</v>
      </c>
      <c r="Z163" t="s">
        <v>1407</v>
      </c>
      <c r="AA163">
        <v>1.776376257897895</v>
      </c>
      <c r="AC163">
        <v>1.0675573807285876</v>
      </c>
    </row>
    <row r="164" spans="1:29" x14ac:dyDescent="0.3">
      <c r="A164" t="s">
        <v>786</v>
      </c>
      <c r="B164" t="s">
        <v>787</v>
      </c>
      <c r="C164" t="s">
        <v>1125</v>
      </c>
      <c r="D164" t="s">
        <v>788</v>
      </c>
      <c r="E164">
        <v>0.71701800000000004</v>
      </c>
      <c r="F164">
        <v>189336356</v>
      </c>
      <c r="G164">
        <v>163</v>
      </c>
      <c r="H164">
        <v>189336356</v>
      </c>
      <c r="I164">
        <v>41251218</v>
      </c>
      <c r="J164">
        <v>0.79193899999999995</v>
      </c>
      <c r="K164">
        <v>0.62934800000000002</v>
      </c>
      <c r="L164">
        <v>-4.7167041542807042E-2</v>
      </c>
      <c r="M164">
        <v>-6.1722000000000001</v>
      </c>
      <c r="N164">
        <v>-6687463.2295139432</v>
      </c>
      <c r="O164">
        <v>-3.4115600000000001</v>
      </c>
      <c r="P164">
        <v>265547036.76668999</v>
      </c>
      <c r="Q164">
        <v>265597512.81775799</v>
      </c>
      <c r="R164">
        <v>265547036.76668999</v>
      </c>
      <c r="S164">
        <v>8.98</v>
      </c>
      <c r="T164">
        <v>-92.045550000000006</v>
      </c>
      <c r="U164" t="s">
        <v>188</v>
      </c>
      <c r="V164">
        <v>0.10814</v>
      </c>
      <c r="W164">
        <v>560.59952999999996</v>
      </c>
      <c r="X164" t="s">
        <v>789</v>
      </c>
      <c r="Z164" t="s">
        <v>1408</v>
      </c>
      <c r="AA164">
        <v>3.3929072029786034</v>
      </c>
      <c r="AB164">
        <v>-78.633315045960671</v>
      </c>
      <c r="AC164">
        <v>-50.413198015256768</v>
      </c>
    </row>
    <row r="165" spans="1:29" x14ac:dyDescent="0.3">
      <c r="A165" t="s">
        <v>866</v>
      </c>
      <c r="B165" t="s">
        <v>867</v>
      </c>
      <c r="C165" t="s">
        <v>868</v>
      </c>
      <c r="D165" t="s">
        <v>869</v>
      </c>
      <c r="E165">
        <v>3.6300899999999999E-3</v>
      </c>
      <c r="F165">
        <v>185790300</v>
      </c>
      <c r="G165">
        <v>164</v>
      </c>
      <c r="I165">
        <v>9829067</v>
      </c>
      <c r="J165">
        <v>3.6399800000000001E-3</v>
      </c>
      <c r="K165">
        <v>3.0937899999999999E-3</v>
      </c>
      <c r="L165">
        <v>2.7975E-4</v>
      </c>
      <c r="M165">
        <v>8.3498099999999997</v>
      </c>
      <c r="N165">
        <v>13280936</v>
      </c>
      <c r="O165">
        <v>7.6986800000000004</v>
      </c>
      <c r="P165">
        <v>51214875000</v>
      </c>
      <c r="S165">
        <v>7.7202999999999994E-2</v>
      </c>
      <c r="T165">
        <v>-95.296250000000001</v>
      </c>
      <c r="U165" t="s">
        <v>706</v>
      </c>
      <c r="V165">
        <v>1.15E-5</v>
      </c>
      <c r="W165">
        <v>31465.55528</v>
      </c>
      <c r="X165" t="s">
        <v>870</v>
      </c>
      <c r="Y165" t="s">
        <v>55</v>
      </c>
      <c r="Z165" t="s">
        <v>1409</v>
      </c>
      <c r="AA165">
        <v>3.1018370907849446</v>
      </c>
      <c r="AB165">
        <v>-72.889586652961512</v>
      </c>
      <c r="AC165">
        <v>-34.606073010644408</v>
      </c>
    </row>
    <row r="166" spans="1:29" x14ac:dyDescent="0.3">
      <c r="A166" t="s">
        <v>928</v>
      </c>
      <c r="B166" t="s">
        <v>929</v>
      </c>
      <c r="C166" t="s">
        <v>930</v>
      </c>
      <c r="D166" t="s">
        <v>931</v>
      </c>
      <c r="E166">
        <v>14.84</v>
      </c>
      <c r="F166">
        <v>184370417</v>
      </c>
      <c r="G166">
        <v>165</v>
      </c>
      <c r="I166">
        <v>32279436</v>
      </c>
      <c r="J166">
        <v>14.79</v>
      </c>
      <c r="K166">
        <v>12.54</v>
      </c>
      <c r="L166">
        <v>1.54</v>
      </c>
      <c r="M166">
        <v>11.584540000000001</v>
      </c>
      <c r="N166">
        <v>17868900</v>
      </c>
      <c r="O166">
        <v>10.73197</v>
      </c>
      <c r="P166">
        <v>12497562.5</v>
      </c>
      <c r="Q166">
        <v>21000000</v>
      </c>
      <c r="S166">
        <v>136.41</v>
      </c>
      <c r="T166">
        <v>-89.164249999999996</v>
      </c>
      <c r="U166" t="s">
        <v>932</v>
      </c>
      <c r="V166">
        <v>2.85</v>
      </c>
      <c r="W166">
        <v>418.84487000000001</v>
      </c>
      <c r="X166" t="s">
        <v>933</v>
      </c>
      <c r="Z166" t="s">
        <v>1410</v>
      </c>
      <c r="AA166">
        <v>2.5236252572010391</v>
      </c>
      <c r="AB166">
        <v>-78.70960220003677</v>
      </c>
      <c r="AC166">
        <v>-29.832398255703939</v>
      </c>
    </row>
    <row r="167" spans="1:29" x14ac:dyDescent="0.3">
      <c r="A167" t="s">
        <v>1102</v>
      </c>
      <c r="B167" t="s">
        <v>1103</v>
      </c>
      <c r="C167" t="s">
        <v>1104</v>
      </c>
      <c r="D167" t="s">
        <v>1105</v>
      </c>
      <c r="E167">
        <v>0.60025799999999996</v>
      </c>
      <c r="F167">
        <v>181464535</v>
      </c>
      <c r="G167">
        <v>166</v>
      </c>
      <c r="I167">
        <v>35456</v>
      </c>
      <c r="J167">
        <v>0.60814800000000002</v>
      </c>
      <c r="K167">
        <v>0.49617600000000001</v>
      </c>
      <c r="L167">
        <v>-6.9152249345982896E-4</v>
      </c>
      <c r="M167">
        <v>-0.11507000000000001</v>
      </c>
      <c r="N167">
        <v>-179910.10762271285</v>
      </c>
      <c r="O167">
        <v>-9.9049999999999999E-2</v>
      </c>
      <c r="P167">
        <v>302267836.28149998</v>
      </c>
      <c r="Q167">
        <v>329594651.62150002</v>
      </c>
      <c r="S167">
        <v>0.81154400000000004</v>
      </c>
      <c r="T167">
        <v>-25.947320000000001</v>
      </c>
      <c r="U167" t="s">
        <v>1106</v>
      </c>
      <c r="V167">
        <v>1.1021E-2</v>
      </c>
      <c r="W167">
        <v>5352.9563399999997</v>
      </c>
      <c r="X167" t="s">
        <v>1107</v>
      </c>
      <c r="Y167" t="s">
        <v>55</v>
      </c>
      <c r="Z167" t="s">
        <v>1411</v>
      </c>
      <c r="AA167">
        <v>0.52387230768310444</v>
      </c>
      <c r="AB167">
        <v>101.31042264487073</v>
      </c>
      <c r="AC167">
        <v>157.25048623855955</v>
      </c>
    </row>
    <row r="168" spans="1:29" x14ac:dyDescent="0.3">
      <c r="A168" t="s">
        <v>987</v>
      </c>
      <c r="B168" t="s">
        <v>988</v>
      </c>
      <c r="C168" t="s">
        <v>989</v>
      </c>
      <c r="D168" t="s">
        <v>990</v>
      </c>
      <c r="E168">
        <v>8.5264000000000006E-2</v>
      </c>
      <c r="F168">
        <v>178198596</v>
      </c>
      <c r="G168">
        <v>167</v>
      </c>
      <c r="H168">
        <v>320681607</v>
      </c>
      <c r="I168">
        <v>19072219</v>
      </c>
      <c r="J168">
        <v>8.5581000000000004E-2</v>
      </c>
      <c r="K168">
        <v>7.4245000000000005E-2</v>
      </c>
      <c r="L168">
        <v>6.8886499999999996E-3</v>
      </c>
      <c r="M168">
        <v>8.7893000000000008</v>
      </c>
      <c r="N168">
        <v>17388158</v>
      </c>
      <c r="O168">
        <v>10.81283</v>
      </c>
      <c r="P168">
        <v>2095108490.1427</v>
      </c>
      <c r="Q168">
        <v>3770303327</v>
      </c>
      <c r="R168">
        <v>3770303327</v>
      </c>
      <c r="S168">
        <v>2.3199999999999998</v>
      </c>
      <c r="T168">
        <v>-96.335300000000004</v>
      </c>
      <c r="U168" t="s">
        <v>188</v>
      </c>
      <c r="V168">
        <v>1.421822E-2</v>
      </c>
      <c r="W168">
        <v>498.74333999999999</v>
      </c>
      <c r="X168" t="s">
        <v>991</v>
      </c>
      <c r="Y168" t="s">
        <v>55</v>
      </c>
      <c r="Z168" t="s">
        <v>1412</v>
      </c>
      <c r="AA168">
        <v>1.7330373385823703</v>
      </c>
      <c r="AB168">
        <v>-26.787806403143883</v>
      </c>
      <c r="AC168">
        <v>-34.910246943272746</v>
      </c>
    </row>
    <row r="169" spans="1:29" x14ac:dyDescent="0.3">
      <c r="A169" t="s">
        <v>1017</v>
      </c>
      <c r="B169" t="s">
        <v>1017</v>
      </c>
      <c r="C169" t="s">
        <v>1018</v>
      </c>
      <c r="D169" t="s">
        <v>1019</v>
      </c>
      <c r="E169">
        <v>2.66</v>
      </c>
      <c r="F169">
        <v>176953440</v>
      </c>
      <c r="G169">
        <v>168</v>
      </c>
      <c r="H169">
        <v>284390462</v>
      </c>
      <c r="I169">
        <v>125561769</v>
      </c>
      <c r="J169">
        <v>2.94</v>
      </c>
      <c r="K169">
        <v>2.23</v>
      </c>
      <c r="L169">
        <v>-7.0978850447011244E-2</v>
      </c>
      <c r="M169">
        <v>-2.5993200000000001</v>
      </c>
      <c r="N169">
        <v>-11954789.007251499</v>
      </c>
      <c r="O169">
        <v>-6.32836</v>
      </c>
      <c r="P169">
        <v>66973152.856738597</v>
      </c>
      <c r="Q169">
        <v>107635804.742705</v>
      </c>
      <c r="R169">
        <v>107635804.742705</v>
      </c>
      <c r="S169">
        <v>34.659999999999997</v>
      </c>
      <c r="T169">
        <v>-92.308539999999994</v>
      </c>
      <c r="U169" t="s">
        <v>1020</v>
      </c>
      <c r="V169">
        <v>0.27971699999999999</v>
      </c>
      <c r="W169">
        <v>852.94221000000005</v>
      </c>
      <c r="X169" t="s">
        <v>1021</v>
      </c>
      <c r="Z169" t="s">
        <v>1413</v>
      </c>
      <c r="AA169">
        <v>3.0642963876032314</v>
      </c>
      <c r="AB169">
        <v>-74.15902778982155</v>
      </c>
      <c r="AC169">
        <v>-11.743216253066926</v>
      </c>
    </row>
    <row r="170" spans="1:29" x14ac:dyDescent="0.3">
      <c r="A170" t="s">
        <v>1138</v>
      </c>
      <c r="B170" t="s">
        <v>1139</v>
      </c>
      <c r="C170" t="s">
        <v>1140</v>
      </c>
      <c r="D170" t="s">
        <v>1141</v>
      </c>
      <c r="E170">
        <v>0.94483300000000003</v>
      </c>
      <c r="F170">
        <v>176495277</v>
      </c>
      <c r="G170">
        <v>169</v>
      </c>
      <c r="I170">
        <v>6054901</v>
      </c>
      <c r="J170">
        <v>0.96202699999999997</v>
      </c>
      <c r="K170">
        <v>0.93654300000000001</v>
      </c>
      <c r="L170">
        <v>-1.034317335879642E-2</v>
      </c>
      <c r="M170">
        <v>-1.0828599999999999</v>
      </c>
      <c r="N170">
        <v>-2329988.5325080752</v>
      </c>
      <c r="O170">
        <v>-1.30294</v>
      </c>
      <c r="P170">
        <v>187314642.560626</v>
      </c>
      <c r="Q170">
        <v>187314642.560626</v>
      </c>
      <c r="S170">
        <v>1.78</v>
      </c>
      <c r="T170">
        <v>-46.636069999999997</v>
      </c>
      <c r="U170" t="s">
        <v>1142</v>
      </c>
      <c r="V170">
        <v>5.0423999999999997E-2</v>
      </c>
      <c r="W170">
        <v>1784.23189</v>
      </c>
      <c r="X170" t="s">
        <v>1143</v>
      </c>
      <c r="Z170" t="s">
        <v>1414</v>
      </c>
      <c r="AA170">
        <v>-0.16898712455984188</v>
      </c>
      <c r="AB170">
        <v>13.892649238005406</v>
      </c>
      <c r="AC170">
        <v>-0.86848633961361443</v>
      </c>
    </row>
    <row r="171" spans="1:29" x14ac:dyDescent="0.3">
      <c r="A171" t="s">
        <v>969</v>
      </c>
      <c r="B171" t="s">
        <v>970</v>
      </c>
      <c r="C171" t="s">
        <v>971</v>
      </c>
      <c r="D171" t="s">
        <v>972</v>
      </c>
      <c r="E171">
        <v>0.36179899999999998</v>
      </c>
      <c r="F171">
        <v>176351589</v>
      </c>
      <c r="G171">
        <v>170</v>
      </c>
      <c r="I171">
        <v>44922465</v>
      </c>
      <c r="J171">
        <v>0.362734</v>
      </c>
      <c r="K171">
        <v>0.30188799999999999</v>
      </c>
      <c r="L171">
        <v>3.4406989999999998E-2</v>
      </c>
      <c r="M171">
        <v>10.509410000000001</v>
      </c>
      <c r="N171">
        <v>16536020</v>
      </c>
      <c r="O171">
        <v>10.34694</v>
      </c>
      <c r="P171">
        <v>487711719.44992399</v>
      </c>
      <c r="Q171">
        <v>528512963.63718098</v>
      </c>
      <c r="S171">
        <v>4.8</v>
      </c>
      <c r="T171">
        <v>-92.470179999999999</v>
      </c>
      <c r="U171" t="s">
        <v>973</v>
      </c>
      <c r="V171">
        <v>0.144764</v>
      </c>
      <c r="W171">
        <v>149.58897999999999</v>
      </c>
      <c r="X171" t="s">
        <v>974</v>
      </c>
      <c r="Z171" t="s">
        <v>1415</v>
      </c>
      <c r="AA171">
        <v>1.5597586240831047</v>
      </c>
      <c r="AB171">
        <v>-78.899645559704524</v>
      </c>
      <c r="AC171">
        <v>-25.665924327096935</v>
      </c>
    </row>
    <row r="172" spans="1:29" x14ac:dyDescent="0.3">
      <c r="A172" t="s">
        <v>1007</v>
      </c>
      <c r="B172" t="s">
        <v>1008</v>
      </c>
      <c r="C172" t="s">
        <v>1009</v>
      </c>
      <c r="D172" t="s">
        <v>1010</v>
      </c>
      <c r="E172">
        <v>0.74963199999999997</v>
      </c>
      <c r="F172">
        <v>175939324</v>
      </c>
      <c r="G172">
        <v>171</v>
      </c>
      <c r="H172">
        <v>1495548556</v>
      </c>
      <c r="I172">
        <v>94457325</v>
      </c>
      <c r="J172">
        <v>0.75533399999999995</v>
      </c>
      <c r="K172">
        <v>0.61457200000000001</v>
      </c>
      <c r="L172">
        <v>8.3224000000000006E-2</v>
      </c>
      <c r="M172">
        <v>12.488390000000001</v>
      </c>
      <c r="N172">
        <v>18369822</v>
      </c>
      <c r="O172">
        <v>11.65823</v>
      </c>
      <c r="P172">
        <v>235284001</v>
      </c>
      <c r="Q172">
        <v>2000000000</v>
      </c>
      <c r="R172">
        <v>2000000000</v>
      </c>
      <c r="S172">
        <v>8.49</v>
      </c>
      <c r="T172">
        <v>-91.224900000000005</v>
      </c>
      <c r="U172" t="s">
        <v>1011</v>
      </c>
      <c r="V172">
        <v>0.61457200000000001</v>
      </c>
      <c r="W172">
        <v>21.170120000000001</v>
      </c>
      <c r="X172" t="s">
        <v>1218</v>
      </c>
      <c r="Z172" t="s">
        <v>1416</v>
      </c>
      <c r="AA172">
        <v>1.5785067674896691</v>
      </c>
      <c r="AC172">
        <v>-18.60137331133653</v>
      </c>
    </row>
    <row r="173" spans="1:29" x14ac:dyDescent="0.3">
      <c r="A173" t="s">
        <v>881</v>
      </c>
      <c r="B173" t="s">
        <v>882</v>
      </c>
      <c r="C173" t="s">
        <v>883</v>
      </c>
      <c r="D173" t="s">
        <v>884</v>
      </c>
      <c r="E173">
        <v>0.18606600000000001</v>
      </c>
      <c r="F173">
        <v>174314705</v>
      </c>
      <c r="G173">
        <v>172</v>
      </c>
      <c r="I173">
        <v>1852454</v>
      </c>
      <c r="J173">
        <v>0.18315100000000001</v>
      </c>
      <c r="K173">
        <v>0.145343</v>
      </c>
      <c r="L173">
        <v>1.340505E-2</v>
      </c>
      <c r="M173">
        <v>7.7637999999999998</v>
      </c>
      <c r="N173">
        <v>8963911</v>
      </c>
      <c r="O173">
        <v>5.4211499999999999</v>
      </c>
      <c r="P173">
        <v>951754603.47427595</v>
      </c>
      <c r="Q173">
        <v>1000000000</v>
      </c>
      <c r="S173">
        <v>1.36</v>
      </c>
      <c r="T173">
        <v>-86.827020000000005</v>
      </c>
      <c r="U173" t="s">
        <v>885</v>
      </c>
      <c r="V173">
        <v>4.4996000000000003E-3</v>
      </c>
      <c r="W173">
        <v>3893.10734</v>
      </c>
      <c r="X173" t="s">
        <v>886</v>
      </c>
      <c r="Y173" t="s">
        <v>55</v>
      </c>
      <c r="Z173" t="s">
        <v>1417</v>
      </c>
      <c r="AA173">
        <v>6.2714404448374035</v>
      </c>
      <c r="AB173">
        <v>-68.152018005823393</v>
      </c>
      <c r="AC173">
        <v>-41.262376632890039</v>
      </c>
    </row>
    <row r="174" spans="1:29" x14ac:dyDescent="0.3">
      <c r="A174" t="s">
        <v>992</v>
      </c>
      <c r="B174" t="s">
        <v>993</v>
      </c>
      <c r="C174" t="s">
        <v>1126</v>
      </c>
      <c r="D174" t="s">
        <v>994</v>
      </c>
      <c r="E174">
        <v>0.59521400000000002</v>
      </c>
      <c r="F174">
        <v>172462355</v>
      </c>
      <c r="G174">
        <v>173</v>
      </c>
      <c r="I174">
        <v>3182163</v>
      </c>
      <c r="J174">
        <v>0.60149200000000003</v>
      </c>
      <c r="K174">
        <v>0.535497</v>
      </c>
      <c r="L174">
        <v>1.537084E-2</v>
      </c>
      <c r="M174">
        <v>2.6508600000000002</v>
      </c>
      <c r="N174">
        <v>3724347</v>
      </c>
      <c r="O174">
        <v>2.2071800000000001</v>
      </c>
      <c r="P174">
        <v>289498825.10092402</v>
      </c>
      <c r="Q174">
        <v>289498825.10092402</v>
      </c>
      <c r="S174">
        <v>10.37</v>
      </c>
      <c r="T174">
        <v>-94.2697</v>
      </c>
      <c r="U174" t="s">
        <v>706</v>
      </c>
      <c r="V174">
        <v>1.522591E-2</v>
      </c>
      <c r="W174">
        <v>3802.84121</v>
      </c>
      <c r="X174" t="s">
        <v>995</v>
      </c>
      <c r="Y174" t="s">
        <v>55</v>
      </c>
      <c r="Z174" t="s">
        <v>1418</v>
      </c>
      <c r="AA174">
        <v>3.8160569457518294</v>
      </c>
      <c r="AB174">
        <v>-70.947957507283419</v>
      </c>
      <c r="AC174">
        <v>-29.30898792120394</v>
      </c>
    </row>
    <row r="175" spans="1:29" x14ac:dyDescent="0.3">
      <c r="A175" t="s">
        <v>1028</v>
      </c>
      <c r="B175" t="s">
        <v>1028</v>
      </c>
      <c r="C175" t="s">
        <v>1029</v>
      </c>
      <c r="D175" t="s">
        <v>1030</v>
      </c>
      <c r="E175">
        <v>0.65161100000000005</v>
      </c>
      <c r="F175">
        <v>171966243</v>
      </c>
      <c r="G175">
        <v>174</v>
      </c>
      <c r="I175">
        <v>12279503</v>
      </c>
      <c r="J175">
        <v>0.68954300000000002</v>
      </c>
      <c r="K175">
        <v>0.64042500000000002</v>
      </c>
      <c r="L175">
        <v>-1.0761025787995872E-2</v>
      </c>
      <c r="M175">
        <v>-1.62462</v>
      </c>
      <c r="N175">
        <v>-5255304.3083844185</v>
      </c>
      <c r="O175">
        <v>-2.9653900000000002</v>
      </c>
      <c r="P175">
        <v>263050317.13115701</v>
      </c>
      <c r="Q175">
        <v>414720000</v>
      </c>
      <c r="S175">
        <v>2.12</v>
      </c>
      <c r="T175">
        <v>-69.171430000000001</v>
      </c>
      <c r="U175" t="s">
        <v>1031</v>
      </c>
      <c r="V175">
        <v>0.16195999999999999</v>
      </c>
      <c r="W175">
        <v>303.12454000000002</v>
      </c>
      <c r="X175" t="s">
        <v>1032</v>
      </c>
      <c r="Z175" t="s">
        <v>1419</v>
      </c>
      <c r="AA175">
        <v>-0.54651391444126041</v>
      </c>
      <c r="AB175">
        <v>41.497381736051146</v>
      </c>
      <c r="AC175">
        <v>-15.133768057528474</v>
      </c>
    </row>
    <row r="176" spans="1:29" x14ac:dyDescent="0.3">
      <c r="A176" t="s">
        <v>851</v>
      </c>
      <c r="B176" t="s">
        <v>852</v>
      </c>
      <c r="C176" t="s">
        <v>853</v>
      </c>
      <c r="D176" t="s">
        <v>854</v>
      </c>
      <c r="E176">
        <v>0.72443000000000002</v>
      </c>
      <c r="F176">
        <v>170108529</v>
      </c>
      <c r="G176">
        <v>175</v>
      </c>
      <c r="I176">
        <v>22211</v>
      </c>
      <c r="J176">
        <v>0.72813799999999995</v>
      </c>
      <c r="K176">
        <v>0.53937199999999996</v>
      </c>
      <c r="L176">
        <v>8.2971000000000003E-2</v>
      </c>
      <c r="M176">
        <v>12.93482</v>
      </c>
      <c r="N176">
        <v>18664110</v>
      </c>
      <c r="O176">
        <v>12.324070000000001</v>
      </c>
      <c r="P176">
        <v>236263134.938779</v>
      </c>
      <c r="Q176">
        <v>236263134.938779</v>
      </c>
      <c r="S176">
        <v>5.71</v>
      </c>
      <c r="T176">
        <v>-87.468980000000002</v>
      </c>
      <c r="U176" t="s">
        <v>855</v>
      </c>
      <c r="V176">
        <v>0.53937199999999996</v>
      </c>
      <c r="W176">
        <v>32.768619999999999</v>
      </c>
      <c r="X176" t="s">
        <v>1220</v>
      </c>
      <c r="Z176" t="s">
        <v>1420</v>
      </c>
      <c r="AA176">
        <v>2.9081057887044852</v>
      </c>
      <c r="AB176">
        <v>-59.312428424690452</v>
      </c>
      <c r="AC176">
        <v>-49.185774022353741</v>
      </c>
    </row>
    <row r="177" spans="1:29" x14ac:dyDescent="0.3">
      <c r="A177" t="s">
        <v>887</v>
      </c>
      <c r="B177" t="s">
        <v>888</v>
      </c>
      <c r="C177" t="s">
        <v>889</v>
      </c>
      <c r="D177" t="s">
        <v>890</v>
      </c>
      <c r="E177">
        <v>0.98707599999999995</v>
      </c>
      <c r="F177">
        <v>169891975</v>
      </c>
      <c r="G177">
        <v>176</v>
      </c>
      <c r="I177">
        <v>7859145</v>
      </c>
      <c r="J177">
        <v>0.987595</v>
      </c>
      <c r="K177">
        <v>0.89840100000000001</v>
      </c>
      <c r="L177">
        <v>5.9656000000000001E-2</v>
      </c>
      <c r="M177">
        <v>6.4324599999999998</v>
      </c>
      <c r="N177">
        <v>9224889</v>
      </c>
      <c r="O177">
        <v>5.7416200000000002</v>
      </c>
      <c r="P177">
        <v>173077523</v>
      </c>
      <c r="Q177">
        <v>190198234</v>
      </c>
      <c r="S177">
        <v>8.9600000000000009</v>
      </c>
      <c r="T177">
        <v>-89.042410000000004</v>
      </c>
      <c r="U177" t="s">
        <v>891</v>
      </c>
      <c r="V177">
        <v>0.21872800000000001</v>
      </c>
      <c r="W177">
        <v>348.71415999999999</v>
      </c>
      <c r="X177" t="s">
        <v>892</v>
      </c>
      <c r="Z177" t="s">
        <v>1421</v>
      </c>
      <c r="AA177">
        <v>1.8308105646679591</v>
      </c>
      <c r="AB177">
        <v>-15.168848059028829</v>
      </c>
      <c r="AC177">
        <v>-50.687550547772318</v>
      </c>
    </row>
    <row r="178" spans="1:29" x14ac:dyDescent="0.3">
      <c r="A178" t="s">
        <v>861</v>
      </c>
      <c r="B178" t="s">
        <v>862</v>
      </c>
      <c r="C178" t="s">
        <v>863</v>
      </c>
      <c r="D178" t="s">
        <v>864</v>
      </c>
      <c r="E178">
        <v>0.1366</v>
      </c>
      <c r="F178">
        <v>167450225</v>
      </c>
      <c r="G178">
        <v>177</v>
      </c>
      <c r="I178">
        <v>14337089</v>
      </c>
      <c r="J178">
        <v>0.14310999999999999</v>
      </c>
      <c r="K178">
        <v>0.13034999999999999</v>
      </c>
      <c r="L178">
        <v>-3.883923393971811E-3</v>
      </c>
      <c r="M178">
        <v>-2.7646799999999998</v>
      </c>
      <c r="N178">
        <v>-5617978.237878412</v>
      </c>
      <c r="O178">
        <v>-3.2461099999999998</v>
      </c>
      <c r="P178">
        <v>1233055630</v>
      </c>
      <c r="Q178">
        <v>2055733581</v>
      </c>
      <c r="S178">
        <v>2.1800000000000002</v>
      </c>
      <c r="T178">
        <v>-93.744969999999995</v>
      </c>
      <c r="U178" t="s">
        <v>865</v>
      </c>
      <c r="V178">
        <v>0.13034999999999999</v>
      </c>
      <c r="W178">
        <v>4.6883299999999997</v>
      </c>
      <c r="X178" t="s">
        <v>1219</v>
      </c>
      <c r="Z178" t="s">
        <v>1422</v>
      </c>
      <c r="AA178">
        <v>0.2010298995124904</v>
      </c>
      <c r="AB178">
        <v>-57.821238519536941</v>
      </c>
      <c r="AC178">
        <v>-38.834573172314016</v>
      </c>
    </row>
    <row r="179" spans="1:29" x14ac:dyDescent="0.3">
      <c r="A179" t="s">
        <v>776</v>
      </c>
      <c r="B179" t="s">
        <v>776</v>
      </c>
      <c r="C179" t="s">
        <v>777</v>
      </c>
      <c r="D179" t="s">
        <v>778</v>
      </c>
      <c r="E179">
        <v>0.96227399999999996</v>
      </c>
      <c r="F179">
        <v>164285817</v>
      </c>
      <c r="G179">
        <v>178</v>
      </c>
      <c r="I179">
        <v>47470724</v>
      </c>
      <c r="J179">
        <v>0.97748400000000002</v>
      </c>
      <c r="K179">
        <v>0.93678899999999998</v>
      </c>
      <c r="L179">
        <v>2.9154699999999999E-3</v>
      </c>
      <c r="M179">
        <v>0.3039</v>
      </c>
      <c r="N179">
        <v>348319</v>
      </c>
      <c r="O179">
        <v>0.21246999999999999</v>
      </c>
      <c r="P179">
        <v>170939776.09026301</v>
      </c>
      <c r="Q179">
        <v>170939776.09026301</v>
      </c>
      <c r="S179">
        <v>1.1200000000000001</v>
      </c>
      <c r="T179">
        <v>-14.903</v>
      </c>
      <c r="U179" t="s">
        <v>779</v>
      </c>
      <c r="V179">
        <v>0.79475099999999999</v>
      </c>
      <c r="W179">
        <v>20.144690000000001</v>
      </c>
      <c r="X179" t="s">
        <v>780</v>
      </c>
      <c r="Z179" t="s">
        <v>1423</v>
      </c>
      <c r="AA179">
        <v>0.46101894698631291</v>
      </c>
      <c r="AB179">
        <v>16.427961170421923</v>
      </c>
      <c r="AC179">
        <v>3.4680831076753009E-2</v>
      </c>
    </row>
    <row r="180" spans="1:29" x14ac:dyDescent="0.3">
      <c r="A180" t="s">
        <v>934</v>
      </c>
      <c r="B180" t="s">
        <v>935</v>
      </c>
      <c r="C180" t="s">
        <v>936</v>
      </c>
      <c r="D180" t="s">
        <v>937</v>
      </c>
      <c r="E180">
        <v>5109.28</v>
      </c>
      <c r="F180">
        <v>161285520</v>
      </c>
      <c r="G180">
        <v>179</v>
      </c>
      <c r="H180">
        <v>186786839</v>
      </c>
      <c r="I180">
        <v>83862040</v>
      </c>
      <c r="J180">
        <v>5166.75</v>
      </c>
      <c r="K180">
        <v>4118.1099999999997</v>
      </c>
      <c r="L180">
        <v>608.87</v>
      </c>
      <c r="M180">
        <v>13.529210000000001</v>
      </c>
      <c r="N180">
        <v>18508015</v>
      </c>
      <c r="O180">
        <v>12.96284</v>
      </c>
      <c r="P180">
        <v>31660.126128111351</v>
      </c>
      <c r="Q180">
        <v>36666</v>
      </c>
      <c r="R180">
        <v>36666</v>
      </c>
      <c r="S180">
        <v>74761</v>
      </c>
      <c r="T180">
        <v>-93.133510000000001</v>
      </c>
      <c r="U180" t="s">
        <v>938</v>
      </c>
      <c r="V180">
        <v>27.69</v>
      </c>
      <c r="W180">
        <v>18440.809740000001</v>
      </c>
      <c r="X180" t="s">
        <v>939</v>
      </c>
      <c r="Z180" t="s">
        <v>1424</v>
      </c>
      <c r="AA180">
        <v>2.402622893987548</v>
      </c>
      <c r="AB180">
        <v>-84.315035286678082</v>
      </c>
      <c r="AC180">
        <v>-49.805205862418745</v>
      </c>
    </row>
    <row r="181" spans="1:29" x14ac:dyDescent="0.3">
      <c r="A181" t="s">
        <v>1002</v>
      </c>
      <c r="B181" t="s">
        <v>1003</v>
      </c>
      <c r="C181" t="s">
        <v>1004</v>
      </c>
      <c r="D181" t="s">
        <v>1005</v>
      </c>
      <c r="E181">
        <v>5.8438799999999995E-7</v>
      </c>
      <c r="F181">
        <v>160652565</v>
      </c>
      <c r="G181">
        <v>180</v>
      </c>
      <c r="H181">
        <v>579798729</v>
      </c>
      <c r="I181">
        <v>49354013</v>
      </c>
      <c r="J181">
        <v>6.0610500000000004E-7</v>
      </c>
      <c r="K181">
        <v>4.9569400000000002E-7</v>
      </c>
      <c r="L181">
        <v>2.257E-9</v>
      </c>
      <c r="M181">
        <v>0.38778000000000001</v>
      </c>
      <c r="N181">
        <v>-884446.84858718514</v>
      </c>
      <c r="O181">
        <v>-0.54752000000000001</v>
      </c>
      <c r="P181">
        <v>277080562500000</v>
      </c>
      <c r="Q181">
        <v>999990000000000</v>
      </c>
      <c r="R181">
        <v>999990000000000</v>
      </c>
      <c r="S181">
        <v>6.3400000000000003E-6</v>
      </c>
      <c r="T181">
        <v>-90.847520000000003</v>
      </c>
      <c r="U181" t="s">
        <v>1006</v>
      </c>
      <c r="V181">
        <v>4.9569400000000002E-7</v>
      </c>
      <c r="W181">
        <v>16.997789999999998</v>
      </c>
      <c r="X181" t="s">
        <v>1221</v>
      </c>
      <c r="Z181" t="s">
        <v>1425</v>
      </c>
      <c r="AA181">
        <v>1.7339295147956435</v>
      </c>
      <c r="AB181">
        <v>-69.823258969873734</v>
      </c>
      <c r="AC181">
        <v>-23.40417587751082</v>
      </c>
    </row>
    <row r="182" spans="1:29" x14ac:dyDescent="0.3">
      <c r="A182" t="s">
        <v>1045</v>
      </c>
      <c r="B182" t="s">
        <v>1046</v>
      </c>
      <c r="C182" t="s">
        <v>1047</v>
      </c>
      <c r="D182" t="s">
        <v>1048</v>
      </c>
      <c r="E182">
        <v>4.7213440000000002E-2</v>
      </c>
      <c r="F182">
        <v>158470208</v>
      </c>
      <c r="G182">
        <v>181</v>
      </c>
      <c r="I182">
        <v>20394637</v>
      </c>
      <c r="J182">
        <v>4.7320019999999997E-2</v>
      </c>
      <c r="K182">
        <v>4.0525369999999998E-2</v>
      </c>
      <c r="L182">
        <v>3.7647100000000001E-3</v>
      </c>
      <c r="M182">
        <v>8.6647099999999995</v>
      </c>
      <c r="N182">
        <v>11461770</v>
      </c>
      <c r="O182">
        <v>7.7966699999999998</v>
      </c>
      <c r="P182">
        <v>3378011811</v>
      </c>
      <c r="Q182">
        <v>7315233930</v>
      </c>
      <c r="S182">
        <v>0.36989499999999997</v>
      </c>
      <c r="T182">
        <v>-87.312520000000006</v>
      </c>
      <c r="U182" t="s">
        <v>1049</v>
      </c>
      <c r="V182">
        <v>4.0525369999999998E-2</v>
      </c>
      <c r="W182">
        <v>15.805020000000001</v>
      </c>
      <c r="X182" t="s">
        <v>1222</v>
      </c>
      <c r="Z182" t="s">
        <v>1426</v>
      </c>
      <c r="AA182">
        <v>2.7485742962552329</v>
      </c>
      <c r="AC182">
        <v>-33.699893350580183</v>
      </c>
    </row>
    <row r="183" spans="1:29" x14ac:dyDescent="0.3">
      <c r="A183" t="s">
        <v>1067</v>
      </c>
      <c r="B183" t="s">
        <v>1067</v>
      </c>
      <c r="C183" t="s">
        <v>1068</v>
      </c>
      <c r="D183" t="s">
        <v>1069</v>
      </c>
      <c r="E183">
        <v>6.4685999999999994E-2</v>
      </c>
      <c r="F183">
        <v>156749456</v>
      </c>
      <c r="G183">
        <v>182</v>
      </c>
      <c r="I183">
        <v>12681219</v>
      </c>
      <c r="J183">
        <v>6.6380999999999996E-2</v>
      </c>
      <c r="K183">
        <v>5.6530999999999998E-2</v>
      </c>
      <c r="L183">
        <v>1.0754E-4</v>
      </c>
      <c r="M183">
        <v>0.16652</v>
      </c>
      <c r="N183">
        <v>-1098307.1877507863</v>
      </c>
      <c r="O183">
        <v>-0.69579999999999997</v>
      </c>
      <c r="P183">
        <v>2437203515.4925466</v>
      </c>
      <c r="Q183">
        <v>2664965801</v>
      </c>
      <c r="S183">
        <v>0.117782</v>
      </c>
      <c r="T183">
        <v>-45.243389999999998</v>
      </c>
      <c r="U183" t="s">
        <v>1070</v>
      </c>
      <c r="V183">
        <v>1.00603E-3</v>
      </c>
      <c r="W183">
        <v>6310.6772199999996</v>
      </c>
      <c r="X183" t="s">
        <v>1071</v>
      </c>
      <c r="Y183" t="s">
        <v>55</v>
      </c>
      <c r="Z183" t="s">
        <v>1427</v>
      </c>
      <c r="AA183">
        <v>1.8754226971378656</v>
      </c>
      <c r="AB183">
        <v>88.424684289426708</v>
      </c>
      <c r="AC183">
        <v>-12.21583353375506</v>
      </c>
    </row>
    <row r="184" spans="1:29" x14ac:dyDescent="0.3">
      <c r="A184" t="s">
        <v>1223</v>
      </c>
      <c r="B184" t="s">
        <v>1224</v>
      </c>
      <c r="C184" t="s">
        <v>1225</v>
      </c>
      <c r="D184" t="s">
        <v>1226</v>
      </c>
      <c r="E184">
        <v>4.57</v>
      </c>
      <c r="F184">
        <v>156695249</v>
      </c>
      <c r="G184">
        <v>183</v>
      </c>
      <c r="H184">
        <v>439979700</v>
      </c>
      <c r="I184">
        <v>39386218</v>
      </c>
      <c r="J184">
        <v>4.78</v>
      </c>
      <c r="K184">
        <v>3.96</v>
      </c>
      <c r="L184">
        <v>0.20117199999999999</v>
      </c>
      <c r="M184">
        <v>4.6024200000000004</v>
      </c>
      <c r="N184">
        <v>109470587</v>
      </c>
      <c r="O184">
        <v>231.8081</v>
      </c>
      <c r="P184">
        <v>34243303.6220567</v>
      </c>
      <c r="Q184">
        <v>50214023.105718702</v>
      </c>
      <c r="R184">
        <v>96150704</v>
      </c>
      <c r="S184">
        <v>61.95</v>
      </c>
      <c r="T184">
        <v>-92.633189999999999</v>
      </c>
      <c r="U184" t="s">
        <v>1227</v>
      </c>
      <c r="V184">
        <v>3.96</v>
      </c>
      <c r="W184">
        <v>15.36641</v>
      </c>
      <c r="X184" t="s">
        <v>1228</v>
      </c>
      <c r="Z184" t="s">
        <v>1428</v>
      </c>
      <c r="AA184">
        <v>2.276061139420924</v>
      </c>
      <c r="AB184">
        <v>-77.080411874475246</v>
      </c>
      <c r="AC184">
        <v>-51.246833546945325</v>
      </c>
    </row>
    <row r="185" spans="1:29" x14ac:dyDescent="0.3">
      <c r="A185" t="s">
        <v>1192</v>
      </c>
      <c r="B185" t="s">
        <v>1193</v>
      </c>
      <c r="C185" t="s">
        <v>1194</v>
      </c>
      <c r="D185" t="s">
        <v>1195</v>
      </c>
      <c r="E185">
        <v>0.147504</v>
      </c>
      <c r="F185">
        <v>156320132</v>
      </c>
      <c r="G185">
        <v>184</v>
      </c>
      <c r="H185">
        <v>440490532</v>
      </c>
      <c r="I185">
        <v>60750215</v>
      </c>
      <c r="J185">
        <v>0.148205</v>
      </c>
      <c r="K185">
        <v>0.11679200000000001</v>
      </c>
      <c r="L185">
        <v>2.454843E-2</v>
      </c>
      <c r="M185">
        <v>19.96527</v>
      </c>
      <c r="N185">
        <v>26302176</v>
      </c>
      <c r="O185">
        <v>20.229649999999999</v>
      </c>
      <c r="P185">
        <v>1064632181.41617</v>
      </c>
      <c r="Q185">
        <v>2975631957.0914001</v>
      </c>
      <c r="R185">
        <v>3000000000</v>
      </c>
      <c r="S185">
        <v>1.55</v>
      </c>
      <c r="T185">
        <v>-90.529290000000003</v>
      </c>
      <c r="U185" t="s">
        <v>1196</v>
      </c>
      <c r="V185">
        <v>1.7980639999999999E-2</v>
      </c>
      <c r="W185">
        <v>718.42079999999999</v>
      </c>
      <c r="X185" t="s">
        <v>1197</v>
      </c>
      <c r="Z185" t="s">
        <v>1429</v>
      </c>
      <c r="AA185">
        <v>1.0621185608214294</v>
      </c>
      <c r="AB185">
        <v>-80.870445087073506</v>
      </c>
      <c r="AC185">
        <v>-27.705737787118618</v>
      </c>
    </row>
    <row r="186" spans="1:29" x14ac:dyDescent="0.3">
      <c r="A186" t="s">
        <v>1050</v>
      </c>
      <c r="B186" t="s">
        <v>1050</v>
      </c>
      <c r="C186" t="s">
        <v>1051</v>
      </c>
      <c r="D186" t="s">
        <v>1052</v>
      </c>
      <c r="E186">
        <v>21657</v>
      </c>
      <c r="F186">
        <v>155567963</v>
      </c>
      <c r="G186">
        <v>185</v>
      </c>
      <c r="H186">
        <v>155567963</v>
      </c>
      <c r="I186">
        <v>11396956</v>
      </c>
      <c r="J186">
        <v>21660</v>
      </c>
      <c r="K186">
        <v>19233.46</v>
      </c>
      <c r="L186">
        <v>1027.18</v>
      </c>
      <c r="M186">
        <v>4.9791299999999996</v>
      </c>
      <c r="N186">
        <v>6826048</v>
      </c>
      <c r="O186">
        <v>4.5891900000000003</v>
      </c>
      <c r="P186">
        <v>7225.4336751999999</v>
      </c>
      <c r="Q186">
        <v>7225.1966468299997</v>
      </c>
      <c r="R186">
        <v>7225.4336751999999</v>
      </c>
      <c r="S186">
        <v>59661</v>
      </c>
      <c r="T186">
        <v>-64.055940000000007</v>
      </c>
      <c r="U186" t="s">
        <v>1053</v>
      </c>
      <c r="V186">
        <v>7887.44</v>
      </c>
      <c r="W186">
        <v>171.88303999999999</v>
      </c>
      <c r="X186" t="s">
        <v>1054</v>
      </c>
      <c r="Z186" t="s">
        <v>1430</v>
      </c>
      <c r="AA186">
        <v>3.0140014520473692</v>
      </c>
      <c r="AB186">
        <v>-35.291101130617676</v>
      </c>
      <c r="AC186">
        <v>-28.288675004394797</v>
      </c>
    </row>
    <row r="187" spans="1:29" x14ac:dyDescent="0.3">
      <c r="A187" t="s">
        <v>1039</v>
      </c>
      <c r="B187" t="s">
        <v>1040</v>
      </c>
      <c r="C187" t="s">
        <v>1041</v>
      </c>
      <c r="D187" t="s">
        <v>1042</v>
      </c>
      <c r="E187">
        <v>0.17169799999999999</v>
      </c>
      <c r="F187">
        <v>154102681</v>
      </c>
      <c r="G187">
        <v>186</v>
      </c>
      <c r="I187">
        <v>23996492</v>
      </c>
      <c r="J187">
        <v>0.172072</v>
      </c>
      <c r="K187">
        <v>0.14657200000000001</v>
      </c>
      <c r="L187">
        <v>1.316199E-2</v>
      </c>
      <c r="M187">
        <v>8.3022200000000002</v>
      </c>
      <c r="N187">
        <v>11455505</v>
      </c>
      <c r="O187">
        <v>8.0306599999999992</v>
      </c>
      <c r="P187">
        <v>898550829.67458856</v>
      </c>
      <c r="Q187">
        <v>1000000000</v>
      </c>
      <c r="S187">
        <v>1.28</v>
      </c>
      <c r="T187">
        <v>-86.642269999999996</v>
      </c>
      <c r="U187" t="s">
        <v>1043</v>
      </c>
      <c r="V187">
        <v>9.8459499999999991E-3</v>
      </c>
      <c r="W187">
        <v>1641.3778600000001</v>
      </c>
      <c r="X187" t="s">
        <v>1044</v>
      </c>
      <c r="Z187" t="s">
        <v>1431</v>
      </c>
      <c r="AA187">
        <v>2.1617001768913289</v>
      </c>
      <c r="AB187">
        <v>-7.0828657344134003</v>
      </c>
      <c r="AC187">
        <v>-20.271196718354982</v>
      </c>
    </row>
    <row r="188" spans="1:29" x14ac:dyDescent="0.3">
      <c r="A188" t="s">
        <v>871</v>
      </c>
      <c r="B188" t="s">
        <v>872</v>
      </c>
      <c r="C188" t="s">
        <v>873</v>
      </c>
      <c r="D188" t="s">
        <v>874</v>
      </c>
      <c r="E188">
        <v>9.5399999999999991</v>
      </c>
      <c r="F188">
        <v>154009239</v>
      </c>
      <c r="G188">
        <v>187</v>
      </c>
      <c r="H188">
        <v>171208027</v>
      </c>
      <c r="I188">
        <v>471703</v>
      </c>
      <c r="J188">
        <v>9.51</v>
      </c>
      <c r="K188">
        <v>7.52</v>
      </c>
      <c r="L188">
        <v>0.80543200000000004</v>
      </c>
      <c r="M188">
        <v>9.2191500000000008</v>
      </c>
      <c r="N188">
        <v>12318877</v>
      </c>
      <c r="O188">
        <v>8.6942199999999996</v>
      </c>
      <c r="P188">
        <v>16191801</v>
      </c>
      <c r="Q188">
        <v>18000000</v>
      </c>
      <c r="R188">
        <v>18000000</v>
      </c>
      <c r="S188">
        <v>51.32</v>
      </c>
      <c r="T188">
        <v>-81.761390000000006</v>
      </c>
      <c r="U188" t="s">
        <v>875</v>
      </c>
      <c r="V188">
        <v>7.5736099999999997E-3</v>
      </c>
      <c r="W188">
        <v>123488.38058</v>
      </c>
      <c r="X188" t="s">
        <v>876</v>
      </c>
      <c r="Z188" t="s">
        <v>1432</v>
      </c>
      <c r="AA188">
        <v>5.6757837879671929</v>
      </c>
      <c r="AB188">
        <v>0.20853570374022595</v>
      </c>
      <c r="AC188">
        <v>-52.958246018829961</v>
      </c>
    </row>
    <row r="189" spans="1:29" x14ac:dyDescent="0.3">
      <c r="A189" t="s">
        <v>1033</v>
      </c>
      <c r="B189" t="s">
        <v>1034</v>
      </c>
      <c r="C189" t="s">
        <v>1035</v>
      </c>
      <c r="D189" t="s">
        <v>1036</v>
      </c>
      <c r="E189">
        <v>3.7859500000000002E-3</v>
      </c>
      <c r="F189">
        <v>151075102</v>
      </c>
      <c r="G189">
        <v>188</v>
      </c>
      <c r="I189">
        <v>34103390</v>
      </c>
      <c r="J189">
        <v>3.7902600000000002E-3</v>
      </c>
      <c r="K189">
        <v>3.3094800000000001E-3</v>
      </c>
      <c r="L189">
        <v>2.2647999999999999E-4</v>
      </c>
      <c r="M189">
        <v>6.3628099999999996</v>
      </c>
      <c r="N189">
        <v>8943522</v>
      </c>
      <c r="O189">
        <v>6.2924199999999999</v>
      </c>
      <c r="P189">
        <v>39950978613</v>
      </c>
      <c r="S189">
        <v>0.337536</v>
      </c>
      <c r="T189">
        <v>-98.887209999999996</v>
      </c>
      <c r="U189" t="s">
        <v>1037</v>
      </c>
      <c r="V189">
        <v>2.7981500000000001E-3</v>
      </c>
      <c r="W189">
        <v>34.234450000000002</v>
      </c>
      <c r="X189" t="s">
        <v>1038</v>
      </c>
      <c r="Z189" t="s">
        <v>1433</v>
      </c>
      <c r="AA189">
        <v>2.7035917137436196</v>
      </c>
      <c r="AB189">
        <v>-96.771487907355421</v>
      </c>
      <c r="AC189">
        <v>-30.351344276384477</v>
      </c>
    </row>
    <row r="190" spans="1:29" x14ac:dyDescent="0.3">
      <c r="A190" t="s">
        <v>922</v>
      </c>
      <c r="B190" t="s">
        <v>923</v>
      </c>
      <c r="C190" t="s">
        <v>924</v>
      </c>
      <c r="D190" t="s">
        <v>925</v>
      </c>
      <c r="E190">
        <v>2.7485200000000001E-7</v>
      </c>
      <c r="F190">
        <v>150991780</v>
      </c>
      <c r="G190">
        <v>189</v>
      </c>
      <c r="H190">
        <v>274089219</v>
      </c>
      <c r="I190">
        <v>11866352</v>
      </c>
      <c r="J190">
        <v>2.7609199999999998E-7</v>
      </c>
      <c r="K190">
        <v>2.32429E-7</v>
      </c>
      <c r="L190">
        <v>1.6081E-8</v>
      </c>
      <c r="M190">
        <v>6.2142900000000001</v>
      </c>
      <c r="N190">
        <v>8405741</v>
      </c>
      <c r="O190">
        <v>5.8952099999999996</v>
      </c>
      <c r="P190">
        <v>550885512415521.88</v>
      </c>
      <c r="Q190">
        <v>1000000000000000</v>
      </c>
      <c r="R190">
        <v>1000000000000000</v>
      </c>
      <c r="S190">
        <v>2.2400000000000002E-6</v>
      </c>
      <c r="T190">
        <v>-87.756249999999994</v>
      </c>
      <c r="U190" t="s">
        <v>926</v>
      </c>
      <c r="V190">
        <v>1.4606E-8</v>
      </c>
      <c r="W190">
        <v>1780.6756499999999</v>
      </c>
      <c r="X190" t="s">
        <v>927</v>
      </c>
      <c r="Z190" t="s">
        <v>1434</v>
      </c>
      <c r="AA190">
        <v>3.3885363005793723</v>
      </c>
      <c r="AB190">
        <v>235.16933402798031</v>
      </c>
      <c r="AC190">
        <v>-48.618303469992803</v>
      </c>
    </row>
    <row r="191" spans="1:29" x14ac:dyDescent="0.3">
      <c r="A191" t="s">
        <v>958</v>
      </c>
      <c r="B191" t="s">
        <v>959</v>
      </c>
      <c r="C191" t="s">
        <v>960</v>
      </c>
      <c r="D191" t="s">
        <v>961</v>
      </c>
      <c r="E191">
        <v>5.9499000000000003E-2</v>
      </c>
      <c r="F191">
        <v>149792421</v>
      </c>
      <c r="G191">
        <v>190</v>
      </c>
      <c r="I191">
        <v>1773598</v>
      </c>
      <c r="J191">
        <v>6.2349000000000002E-2</v>
      </c>
      <c r="K191">
        <v>4.8858600000000002E-2</v>
      </c>
      <c r="L191">
        <v>3.5294499999999999E-3</v>
      </c>
      <c r="M191">
        <v>6.3059700000000003</v>
      </c>
      <c r="N191">
        <v>6527378</v>
      </c>
      <c r="O191">
        <v>4.5561600000000002</v>
      </c>
      <c r="P191">
        <v>2569622743.17033</v>
      </c>
      <c r="Q191">
        <v>3550000000</v>
      </c>
      <c r="S191">
        <v>0.38374200000000003</v>
      </c>
      <c r="T191">
        <v>-84.745620000000002</v>
      </c>
      <c r="U191" t="s">
        <v>962</v>
      </c>
      <c r="V191">
        <v>9.8079999999999999E-4</v>
      </c>
      <c r="W191">
        <v>5868.3608299999996</v>
      </c>
      <c r="X191" t="s">
        <v>963</v>
      </c>
      <c r="Y191" t="s">
        <v>55</v>
      </c>
      <c r="Z191" t="s">
        <v>1435</v>
      </c>
      <c r="AA191">
        <v>0.93807257714770242</v>
      </c>
      <c r="AB191">
        <v>63.734808113092335</v>
      </c>
      <c r="AC191">
        <v>-48.149831004399303</v>
      </c>
    </row>
    <row r="192" spans="1:29" x14ac:dyDescent="0.3">
      <c r="A192" t="s">
        <v>1173</v>
      </c>
      <c r="B192" t="s">
        <v>1174</v>
      </c>
      <c r="C192" t="s">
        <v>1175</v>
      </c>
      <c r="D192" t="s">
        <v>1176</v>
      </c>
      <c r="E192">
        <v>0.136376</v>
      </c>
      <c r="F192">
        <v>149791766</v>
      </c>
      <c r="G192">
        <v>191</v>
      </c>
      <c r="I192">
        <v>733279</v>
      </c>
      <c r="J192">
        <v>0.13597999999999999</v>
      </c>
      <c r="K192">
        <v>0.121266</v>
      </c>
      <c r="L192">
        <v>2.1006699999999998E-3</v>
      </c>
      <c r="M192">
        <v>1.5644499999999999</v>
      </c>
      <c r="N192">
        <v>3617761</v>
      </c>
      <c r="O192">
        <v>2.4749699999999999</v>
      </c>
      <c r="P192">
        <v>1105949357.2062199</v>
      </c>
      <c r="Q192">
        <v>1264040962.8001399</v>
      </c>
      <c r="S192">
        <v>2.73</v>
      </c>
      <c r="T192">
        <v>-95.047719999999998</v>
      </c>
      <c r="U192" t="s">
        <v>1177</v>
      </c>
      <c r="V192">
        <v>0.114172</v>
      </c>
      <c r="W192">
        <v>18.331050000000001</v>
      </c>
      <c r="X192" t="s">
        <v>1178</v>
      </c>
      <c r="Z192" t="s">
        <v>1436</v>
      </c>
      <c r="AA192">
        <v>5.3020548767135143</v>
      </c>
      <c r="AC192">
        <v>-42.124584231416868</v>
      </c>
    </row>
    <row r="193" spans="1:29" x14ac:dyDescent="0.3">
      <c r="A193" t="s">
        <v>1072</v>
      </c>
      <c r="B193" t="s">
        <v>1073</v>
      </c>
      <c r="C193" t="s">
        <v>1074</v>
      </c>
      <c r="D193" t="s">
        <v>1075</v>
      </c>
      <c r="E193">
        <v>0.35218300000000002</v>
      </c>
      <c r="F193">
        <v>149064397</v>
      </c>
      <c r="G193">
        <v>192</v>
      </c>
      <c r="I193">
        <v>42826926</v>
      </c>
      <c r="J193">
        <v>0.35560399999999998</v>
      </c>
      <c r="K193">
        <v>0.29018899999999997</v>
      </c>
      <c r="L193">
        <v>3.3595750000000001E-2</v>
      </c>
      <c r="M193">
        <v>10.54523</v>
      </c>
      <c r="N193">
        <v>14018418</v>
      </c>
      <c r="O193">
        <v>10.38048</v>
      </c>
      <c r="P193">
        <v>423447002</v>
      </c>
      <c r="Q193">
        <v>700000000</v>
      </c>
      <c r="S193">
        <v>3.24</v>
      </c>
      <c r="T193">
        <v>-89.118880000000004</v>
      </c>
      <c r="U193" t="s">
        <v>1076</v>
      </c>
      <c r="V193">
        <v>7.8310000000000005E-2</v>
      </c>
      <c r="W193">
        <v>350.02452</v>
      </c>
      <c r="X193" t="s">
        <v>1077</v>
      </c>
      <c r="Z193" t="s">
        <v>1437</v>
      </c>
      <c r="AA193">
        <v>2.3547808189665003</v>
      </c>
      <c r="AB193">
        <v>116.85440623630872</v>
      </c>
      <c r="AC193">
        <v>-40.234949027309327</v>
      </c>
    </row>
    <row r="194" spans="1:29" x14ac:dyDescent="0.3">
      <c r="A194" t="s">
        <v>1061</v>
      </c>
      <c r="B194" t="s">
        <v>1062</v>
      </c>
      <c r="C194" t="s">
        <v>1063</v>
      </c>
      <c r="D194" t="s">
        <v>1064</v>
      </c>
      <c r="E194">
        <v>1.43</v>
      </c>
      <c r="F194">
        <v>145649987</v>
      </c>
      <c r="G194">
        <v>193</v>
      </c>
      <c r="H194">
        <v>321069657</v>
      </c>
      <c r="I194">
        <v>43571291</v>
      </c>
      <c r="J194">
        <v>1.43</v>
      </c>
      <c r="K194">
        <v>1.25</v>
      </c>
      <c r="L194">
        <v>0.149758</v>
      </c>
      <c r="M194">
        <v>11.709289999999999</v>
      </c>
      <c r="N194">
        <v>13938803</v>
      </c>
      <c r="O194">
        <v>10.582850000000001</v>
      </c>
      <c r="P194">
        <v>102522603.24294408</v>
      </c>
      <c r="Q194">
        <v>198953914.82541299</v>
      </c>
      <c r="R194">
        <v>226000000</v>
      </c>
      <c r="S194">
        <v>5.42</v>
      </c>
      <c r="T194">
        <v>-73.810730000000007</v>
      </c>
      <c r="U194" t="s">
        <v>1065</v>
      </c>
      <c r="V194">
        <v>0.931253</v>
      </c>
      <c r="W194">
        <v>52.351460000000003</v>
      </c>
      <c r="X194" t="s">
        <v>1066</v>
      </c>
      <c r="Z194" t="s">
        <v>1438</v>
      </c>
      <c r="AA194">
        <v>2.9727567755819049</v>
      </c>
      <c r="AB194">
        <v>-9.2099858071923766</v>
      </c>
      <c r="AC194">
        <v>-13.045607941206333</v>
      </c>
    </row>
    <row r="195" spans="1:29" x14ac:dyDescent="0.3">
      <c r="A195" t="s">
        <v>1153</v>
      </c>
      <c r="B195" t="s">
        <v>1154</v>
      </c>
      <c r="C195" t="s">
        <v>1155</v>
      </c>
      <c r="D195" t="s">
        <v>1156</v>
      </c>
      <c r="E195">
        <v>9.3920700000000006E-3</v>
      </c>
      <c r="F195">
        <v>144025493</v>
      </c>
      <c r="G195">
        <v>194</v>
      </c>
      <c r="I195">
        <v>9846914</v>
      </c>
      <c r="J195">
        <v>9.3919799999999994E-3</v>
      </c>
      <c r="K195">
        <v>8.2428899999999992E-3</v>
      </c>
      <c r="L195">
        <v>5.5593000000000005E-4</v>
      </c>
      <c r="M195">
        <v>6.29155</v>
      </c>
      <c r="N195">
        <v>7600176</v>
      </c>
      <c r="O195">
        <v>5.5709400000000002</v>
      </c>
      <c r="P195">
        <v>15415783791.5506</v>
      </c>
      <c r="Q195">
        <v>21000000000</v>
      </c>
      <c r="S195">
        <v>0.14815700000000001</v>
      </c>
      <c r="T195">
        <v>-93.66986</v>
      </c>
      <c r="U195" t="s">
        <v>1157</v>
      </c>
      <c r="V195">
        <v>2.6469999999999999E-5</v>
      </c>
      <c r="W195">
        <v>35333.800929999998</v>
      </c>
      <c r="X195" t="s">
        <v>155</v>
      </c>
      <c r="Z195" t="s">
        <v>1439</v>
      </c>
      <c r="AA195">
        <v>1.6781694914474672</v>
      </c>
      <c r="AB195">
        <v>-80.721868246005073</v>
      </c>
      <c r="AC195">
        <v>-28.823490411260643</v>
      </c>
    </row>
    <row r="196" spans="1:29" x14ac:dyDescent="0.3">
      <c r="A196" t="s">
        <v>1160</v>
      </c>
      <c r="B196" t="s">
        <v>1161</v>
      </c>
      <c r="C196" t="s">
        <v>1162</v>
      </c>
      <c r="D196" t="s">
        <v>1163</v>
      </c>
      <c r="E196">
        <v>2.771502E-2</v>
      </c>
      <c r="F196">
        <v>142220167</v>
      </c>
      <c r="G196">
        <v>195</v>
      </c>
      <c r="I196">
        <v>6119899</v>
      </c>
      <c r="J196">
        <v>2.772442E-2</v>
      </c>
      <c r="K196">
        <v>2.3733850000000001E-2</v>
      </c>
      <c r="L196">
        <v>3.4511199999999998E-3</v>
      </c>
      <c r="M196">
        <v>14.22326</v>
      </c>
      <c r="N196">
        <v>17111946</v>
      </c>
      <c r="O196">
        <v>13.677709999999999</v>
      </c>
      <c r="P196">
        <v>5154110031</v>
      </c>
      <c r="Q196">
        <v>10937912030</v>
      </c>
      <c r="S196">
        <v>1.091</v>
      </c>
      <c r="T196">
        <v>-97.482230000000001</v>
      </c>
      <c r="U196" t="s">
        <v>1164</v>
      </c>
      <c r="V196">
        <v>2.2917920000000001E-2</v>
      </c>
      <c r="W196">
        <v>19.884039999999999</v>
      </c>
      <c r="X196" t="s">
        <v>1198</v>
      </c>
      <c r="Z196" t="s">
        <v>1440</v>
      </c>
      <c r="AA196">
        <v>2.0808100702746697</v>
      </c>
      <c r="AB196">
        <v>-86.578336639366967</v>
      </c>
      <c r="AC196">
        <v>-30.041988356805721</v>
      </c>
    </row>
    <row r="197" spans="1:29" x14ac:dyDescent="0.3">
      <c r="A197" t="s">
        <v>1132</v>
      </c>
      <c r="B197" t="s">
        <v>1133</v>
      </c>
      <c r="C197" t="s">
        <v>1134</v>
      </c>
      <c r="D197" t="s">
        <v>1135</v>
      </c>
      <c r="E197">
        <v>0.95680900000000002</v>
      </c>
      <c r="F197">
        <v>138752102</v>
      </c>
      <c r="G197">
        <v>196</v>
      </c>
      <c r="I197">
        <v>3432109</v>
      </c>
      <c r="J197">
        <v>0.96164499999999997</v>
      </c>
      <c r="K197">
        <v>0.84335599999999999</v>
      </c>
      <c r="L197">
        <v>4.458877E-2</v>
      </c>
      <c r="M197">
        <v>4.8879400000000004</v>
      </c>
      <c r="N197">
        <v>6687211</v>
      </c>
      <c r="O197">
        <v>5.06358</v>
      </c>
      <c r="P197">
        <v>144818773</v>
      </c>
      <c r="S197">
        <v>29.01</v>
      </c>
      <c r="T197">
        <v>-96.685680000000005</v>
      </c>
      <c r="U197" t="s">
        <v>77</v>
      </c>
      <c r="V197">
        <v>9.6368999999999996E-2</v>
      </c>
      <c r="W197">
        <v>897.73487999999998</v>
      </c>
      <c r="X197" t="s">
        <v>1136</v>
      </c>
      <c r="Z197" t="s">
        <v>1441</v>
      </c>
      <c r="AA197">
        <v>1.9071382577428304</v>
      </c>
      <c r="AB197">
        <v>-62.918509145215374</v>
      </c>
      <c r="AC197">
        <v>-23.402892239637893</v>
      </c>
    </row>
    <row r="198" spans="1:29" x14ac:dyDescent="0.3">
      <c r="A198" t="s">
        <v>835</v>
      </c>
      <c r="B198" t="s">
        <v>836</v>
      </c>
      <c r="C198" t="s">
        <v>837</v>
      </c>
      <c r="D198" t="s">
        <v>838</v>
      </c>
      <c r="E198">
        <v>2.59</v>
      </c>
      <c r="F198">
        <v>135996370</v>
      </c>
      <c r="G198">
        <v>197</v>
      </c>
      <c r="H198">
        <v>477874239</v>
      </c>
      <c r="I198">
        <v>608093</v>
      </c>
      <c r="J198">
        <v>2.59</v>
      </c>
      <c r="K198">
        <v>2.17</v>
      </c>
      <c r="L198">
        <v>0.248916</v>
      </c>
      <c r="M198">
        <v>10.637219999999999</v>
      </c>
      <c r="N198">
        <v>12674791</v>
      </c>
      <c r="O198">
        <v>10.277839999999999</v>
      </c>
      <c r="P198">
        <v>52808443.575211003</v>
      </c>
      <c r="Q198">
        <v>81454835.651513994</v>
      </c>
      <c r="R198">
        <v>185562268</v>
      </c>
      <c r="S198">
        <v>41.53</v>
      </c>
      <c r="T198">
        <v>-93.801540000000003</v>
      </c>
      <c r="U198" t="s">
        <v>839</v>
      </c>
      <c r="V198">
        <v>2.17</v>
      </c>
      <c r="W198">
        <v>18.450749999999999</v>
      </c>
      <c r="X198" t="s">
        <v>1229</v>
      </c>
      <c r="Z198" t="s">
        <v>1442</v>
      </c>
      <c r="AA198">
        <v>2.1517156747440582</v>
      </c>
      <c r="AC198">
        <v>-67.455902386992022</v>
      </c>
    </row>
    <row r="199" spans="1:29" x14ac:dyDescent="0.3">
      <c r="A199" t="s">
        <v>1230</v>
      </c>
      <c r="B199" t="s">
        <v>1230</v>
      </c>
      <c r="C199" t="s">
        <v>1231</v>
      </c>
      <c r="D199" t="s">
        <v>1232</v>
      </c>
      <c r="E199">
        <v>0.35720000000000002</v>
      </c>
      <c r="F199">
        <v>133050974</v>
      </c>
      <c r="G199">
        <v>198</v>
      </c>
      <c r="I199">
        <v>6037798</v>
      </c>
      <c r="J199">
        <v>0.35771700000000001</v>
      </c>
      <c r="K199">
        <v>0.30272900000000003</v>
      </c>
      <c r="L199">
        <v>2.376381E-2</v>
      </c>
      <c r="M199">
        <v>7.1269499999999999</v>
      </c>
      <c r="N199">
        <v>9279872</v>
      </c>
      <c r="O199">
        <v>7.4976099999999999</v>
      </c>
      <c r="P199">
        <v>371261453.71399999</v>
      </c>
      <c r="S199">
        <v>3.04</v>
      </c>
      <c r="T199">
        <v>-88.265150000000006</v>
      </c>
      <c r="U199" t="s">
        <v>1233</v>
      </c>
      <c r="V199">
        <v>8.0711000000000005E-2</v>
      </c>
      <c r="W199">
        <v>341.69420000000002</v>
      </c>
      <c r="X199" t="s">
        <v>1234</v>
      </c>
      <c r="Z199" t="s">
        <v>1443</v>
      </c>
      <c r="AA199">
        <v>2.4768012805324489</v>
      </c>
      <c r="AB199">
        <v>16.425773261127368</v>
      </c>
      <c r="AC199">
        <v>-31.440712825602319</v>
      </c>
    </row>
    <row r="200" spans="1:29" x14ac:dyDescent="0.3">
      <c r="A200" t="s">
        <v>1087</v>
      </c>
      <c r="B200" t="s">
        <v>1088</v>
      </c>
      <c r="C200" t="s">
        <v>1089</v>
      </c>
      <c r="D200" t="s">
        <v>1090</v>
      </c>
      <c r="E200">
        <v>1.39</v>
      </c>
      <c r="F200">
        <v>132466439</v>
      </c>
      <c r="G200">
        <v>199</v>
      </c>
      <c r="H200">
        <v>383495191</v>
      </c>
      <c r="I200">
        <v>2804476</v>
      </c>
      <c r="J200">
        <v>1.5</v>
      </c>
      <c r="K200">
        <v>1.26</v>
      </c>
      <c r="L200">
        <v>-6.2179772445615893E-2</v>
      </c>
      <c r="M200">
        <v>-4.27555</v>
      </c>
      <c r="N200">
        <v>-7083105.1116356254</v>
      </c>
      <c r="O200">
        <v>-5.0756899999999998</v>
      </c>
      <c r="P200">
        <v>95862000</v>
      </c>
      <c r="Q200">
        <v>277524000</v>
      </c>
      <c r="R200">
        <v>277524000</v>
      </c>
      <c r="S200">
        <v>7.24</v>
      </c>
      <c r="T200">
        <v>-80.794110000000003</v>
      </c>
      <c r="U200" t="s">
        <v>1091</v>
      </c>
      <c r="V200">
        <v>1.0549999999999999</v>
      </c>
      <c r="W200">
        <v>31.795290000000001</v>
      </c>
      <c r="X200" t="s">
        <v>1092</v>
      </c>
      <c r="Z200" t="s">
        <v>1444</v>
      </c>
      <c r="AA200">
        <v>3.2952222499225345</v>
      </c>
      <c r="AB200">
        <v>-39.535653491767981</v>
      </c>
      <c r="AC200">
        <v>-28.542941512702058</v>
      </c>
    </row>
    <row r="201" spans="1:29" x14ac:dyDescent="0.3">
      <c r="A201" t="s">
        <v>1240</v>
      </c>
      <c r="B201" t="s">
        <v>1241</v>
      </c>
      <c r="C201" t="s">
        <v>1242</v>
      </c>
      <c r="D201" t="s">
        <v>1243</v>
      </c>
      <c r="E201">
        <v>1.32</v>
      </c>
      <c r="F201">
        <v>130251147</v>
      </c>
      <c r="G201">
        <v>200</v>
      </c>
      <c r="I201">
        <v>529369</v>
      </c>
      <c r="J201">
        <v>1.31</v>
      </c>
      <c r="K201">
        <v>1.1299999999999999</v>
      </c>
      <c r="L201">
        <v>0.108291</v>
      </c>
      <c r="M201">
        <v>8.9725400000000004</v>
      </c>
      <c r="N201">
        <v>9269397</v>
      </c>
      <c r="O201">
        <v>7.66181</v>
      </c>
      <c r="P201">
        <v>99999999.999699995</v>
      </c>
      <c r="Q201">
        <v>447733345</v>
      </c>
      <c r="S201">
        <v>3.27</v>
      </c>
      <c r="T201">
        <v>-60.059980000000003</v>
      </c>
      <c r="U201" t="s">
        <v>1244</v>
      </c>
      <c r="V201">
        <v>3.8249039999999998E-2</v>
      </c>
      <c r="W201">
        <v>3313.2755900000002</v>
      </c>
      <c r="X201" t="s">
        <v>1245</v>
      </c>
      <c r="Z201" t="s">
        <v>1445</v>
      </c>
      <c r="AA201">
        <v>4.7502753686248145</v>
      </c>
      <c r="AB201">
        <v>125.61197941349886</v>
      </c>
      <c r="AC201">
        <v>-13.938146855849476</v>
      </c>
    </row>
    <row r="202" spans="1:29" x14ac:dyDescent="0.3">
      <c r="B202" t="s">
        <v>1093</v>
      </c>
      <c r="E202">
        <v>1</v>
      </c>
    </row>
  </sheetData>
  <sheetProtection selectLockedCells="1" selectUnlockedCells="1"/>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9CD3F5B-538D-458F-86C4-ED33A5D9AA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Welcome_page</vt:lpstr>
      <vt:lpstr>User_Guide</vt:lpstr>
      <vt:lpstr>Portfolio_Lite</vt:lpstr>
      <vt:lpstr>Portfolio_Pro</vt:lpstr>
      <vt:lpstr>Purchases</vt:lpstr>
      <vt:lpstr>Log_Data</vt:lpstr>
      <vt:lpstr>Login_Info</vt:lpstr>
      <vt:lpstr>ExtractedDataTables</vt:lpstr>
      <vt:lpstr>Coingecko_API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Dančišin</dc:creator>
  <cp:lastModifiedBy>Robert Dančišin</cp:lastModifiedBy>
  <cp:lastPrinted>2022-06-05T17:16:45Z</cp:lastPrinted>
  <dcterms:created xsi:type="dcterms:W3CDTF">2022-05-29T03:37:34Z</dcterms:created>
  <dcterms:modified xsi:type="dcterms:W3CDTF">2022-06-15T22:40:59Z</dcterms:modified>
</cp:coreProperties>
</file>